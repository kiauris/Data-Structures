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RiderProjects\Training\DataStructures\Results\"/>
    </mc:Choice>
  </mc:AlternateContent>
  <xr:revisionPtr revIDLastSave="0" documentId="13_ncr:1_{EC455AC9-E6BA-4BB2-8F7D-3819E23B76F7}" xr6:coauthVersionLast="47" xr6:coauthVersionMax="47" xr10:uidLastSave="{00000000-0000-0000-0000-000000000000}"/>
  <bookViews>
    <workbookView xWindow="-120" yWindow="-120" windowWidth="29040" windowHeight="15840" xr2:uid="{A3A81DA6-1983-4F56-930A-34D7B409B927}"/>
  </bookViews>
  <sheets>
    <sheet name="result" sheetId="2" r:id="rId1"/>
  </sheets>
  <definedNames>
    <definedName name="ExternalData_1" localSheetId="0" hidden="1">'result'!$A$1:$D$359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2" l="1"/>
  <c r="K35" i="2"/>
  <c r="J36" i="2"/>
  <c r="K36" i="2"/>
  <c r="J37" i="2"/>
  <c r="K37" i="2"/>
  <c r="J38" i="2"/>
  <c r="K38" i="2"/>
  <c r="J39" i="2"/>
  <c r="K39" i="2"/>
  <c r="K34" i="2"/>
  <c r="J34" i="2"/>
  <c r="I35" i="2"/>
  <c r="I36" i="2"/>
  <c r="I37" i="2"/>
  <c r="I38" i="2"/>
  <c r="I39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I34" i="2"/>
  <c r="S7" i="2"/>
  <c r="T7" i="2"/>
  <c r="U7" i="2"/>
  <c r="V7" i="2"/>
  <c r="R7" i="2"/>
  <c r="Q7" i="2"/>
  <c r="J9" i="2"/>
  <c r="R10" i="2" s="1"/>
  <c r="J10" i="2"/>
  <c r="R11" i="2" s="1"/>
  <c r="J11" i="2"/>
  <c r="R12" i="2" s="1"/>
  <c r="J12" i="2"/>
  <c r="I9" i="2"/>
  <c r="I10" i="2"/>
  <c r="I11" i="2"/>
  <c r="I12" i="2"/>
  <c r="K9" i="2"/>
  <c r="S10" i="2" s="1"/>
  <c r="I3" i="2"/>
  <c r="Q4" i="2" s="1"/>
  <c r="K10" i="2"/>
  <c r="S11" i="2" s="1"/>
  <c r="Q25" i="2"/>
  <c r="R25" i="2"/>
  <c r="Q19" i="2"/>
  <c r="R19" i="2"/>
  <c r="S19" i="2"/>
  <c r="Q13" i="2"/>
  <c r="R13" i="2"/>
  <c r="S13" i="2"/>
  <c r="Q1" i="2"/>
  <c r="R1" i="2"/>
  <c r="S1" i="2"/>
  <c r="T1" i="2"/>
  <c r="U1" i="2"/>
  <c r="P1" i="2"/>
  <c r="P7" i="2"/>
  <c r="P13" i="2"/>
  <c r="P19" i="2"/>
  <c r="P25" i="2"/>
  <c r="J27" i="2"/>
  <c r="J28" i="2"/>
  <c r="J29" i="2"/>
  <c r="J30" i="2"/>
  <c r="I27" i="2"/>
  <c r="I28" i="2"/>
  <c r="I29" i="2"/>
  <c r="I30" i="2"/>
  <c r="K21" i="2"/>
  <c r="K22" i="2"/>
  <c r="K23" i="2"/>
  <c r="K24" i="2"/>
  <c r="J21" i="2"/>
  <c r="J22" i="2"/>
  <c r="J23" i="2"/>
  <c r="J24" i="2"/>
  <c r="I21" i="2"/>
  <c r="I22" i="2"/>
  <c r="I23" i="2"/>
  <c r="I24" i="2"/>
  <c r="K15" i="2"/>
  <c r="K16" i="2"/>
  <c r="K17" i="2"/>
  <c r="K18" i="2"/>
  <c r="J15" i="2"/>
  <c r="J16" i="2"/>
  <c r="J17" i="2"/>
  <c r="J18" i="2"/>
  <c r="I15" i="2"/>
  <c r="I16" i="2"/>
  <c r="I17" i="2"/>
  <c r="I18" i="2"/>
  <c r="N9" i="2"/>
  <c r="V10" i="2" s="1"/>
  <c r="N10" i="2"/>
  <c r="V11" i="2" s="1"/>
  <c r="M12" i="2"/>
  <c r="I4" i="2"/>
  <c r="Q5" i="2" s="1"/>
  <c r="I5" i="2"/>
  <c r="I6" i="2"/>
  <c r="K11" i="2"/>
  <c r="J3" i="2"/>
  <c r="R4" i="2" s="1"/>
  <c r="J4" i="2"/>
  <c r="R5" i="2" s="1"/>
  <c r="J5" i="2"/>
  <c r="J6" i="2"/>
  <c r="N11" i="2"/>
  <c r="N12" i="2"/>
  <c r="M9" i="2"/>
  <c r="U10" i="2" s="1"/>
  <c r="M10" i="2"/>
  <c r="U11" i="2" s="1"/>
  <c r="M11" i="2"/>
  <c r="L9" i="2"/>
  <c r="T10" i="2" s="1"/>
  <c r="L10" i="2"/>
  <c r="T11" i="2" s="1"/>
  <c r="L11" i="2"/>
  <c r="L12" i="2"/>
  <c r="K12" i="2"/>
  <c r="M6" i="2"/>
  <c r="M3" i="2"/>
  <c r="U4" i="2" s="1"/>
  <c r="M4" i="2"/>
  <c r="M5" i="2"/>
  <c r="L3" i="2"/>
  <c r="T4" i="2" s="1"/>
  <c r="L4" i="2"/>
  <c r="T5" i="2" s="1"/>
  <c r="L5" i="2"/>
  <c r="L6" i="2"/>
  <c r="K3" i="2"/>
  <c r="S4" i="2" s="1"/>
  <c r="K4" i="2"/>
  <c r="S5" i="2" s="1"/>
  <c r="K5" i="2"/>
  <c r="K6" i="2"/>
  <c r="Q22" i="2" l="1"/>
  <c r="R28" i="2"/>
  <c r="Q11" i="2"/>
  <c r="R16" i="2"/>
  <c r="U12" i="2"/>
  <c r="R29" i="2"/>
  <c r="S22" i="2"/>
  <c r="U5" i="2"/>
  <c r="Q6" i="2"/>
  <c r="R22" i="2"/>
  <c r="Q28" i="2"/>
  <c r="Q29" i="2"/>
  <c r="S24" i="2"/>
  <c r="R30" i="2"/>
  <c r="S23" i="2"/>
  <c r="V12" i="2"/>
  <c r="U6" i="2"/>
  <c r="S12" i="2"/>
  <c r="Q18" i="2"/>
  <c r="S18" i="2"/>
  <c r="R24" i="2"/>
  <c r="Q30" i="2"/>
  <c r="S6" i="2"/>
  <c r="Q17" i="2"/>
  <c r="S17" i="2"/>
  <c r="R23" i="2"/>
  <c r="Q10" i="2"/>
  <c r="Q16" i="2"/>
  <c r="S16" i="2"/>
  <c r="T12" i="2"/>
  <c r="R18" i="2"/>
  <c r="Q24" i="2"/>
  <c r="T6" i="2"/>
  <c r="Q12" i="2"/>
  <c r="R6" i="2"/>
  <c r="R17" i="2"/>
  <c r="Q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Екатерина Рогожина</author>
  </authors>
  <commentList>
    <comment ref="I7" authorId="0" shapeId="0" xr:uid="{E6EF25D5-265F-4A16-98AF-091991750FE2}">
      <text>
        <r>
          <rPr>
            <b/>
            <sz val="9"/>
            <color indexed="81"/>
            <rFont val="Tahoma"/>
            <family val="2"/>
            <charset val="204"/>
          </rPr>
          <t>Екатерина Рогожина:</t>
        </r>
        <r>
          <rPr>
            <sz val="9"/>
            <color indexed="81"/>
            <rFont val="Tahoma"/>
            <family val="2"/>
            <charset val="204"/>
          </rPr>
          <t xml:space="preserve">
O(N) - pop back (идет с head до конца и удаляет)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27B02B-B881-4A83-9E30-5B99EA5A7F7E}" keepAlive="1" name="Запрос — result" description="Соединение с запросом &quot;result&quot; в книге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<sst xmlns="http://schemas.openxmlformats.org/spreadsheetml/2006/main" count="801" uniqueCount="26">
  <si>
    <t>DataStructure</t>
  </si>
  <si>
    <t>Method</t>
  </si>
  <si>
    <t>N</t>
  </si>
  <si>
    <t>TimeMs</t>
  </si>
  <si>
    <t>One-way list</t>
  </si>
  <si>
    <t>Push</t>
  </si>
  <si>
    <t>Pop</t>
  </si>
  <si>
    <t>Insert</t>
  </si>
  <si>
    <t>Delete</t>
  </si>
  <si>
    <t>Two-way list</t>
  </si>
  <si>
    <t>Cycle List</t>
  </si>
  <si>
    <t>Find</t>
  </si>
  <si>
    <t>Queue</t>
  </si>
  <si>
    <t>Stack</t>
  </si>
  <si>
    <t>O(1)</t>
  </si>
  <si>
    <t>O(N)</t>
  </si>
  <si>
    <t>One-way list2</t>
  </si>
  <si>
    <t>Pop Back</t>
  </si>
  <si>
    <t>Pop Front</t>
  </si>
  <si>
    <t>O(N) - Back</t>
  </si>
  <si>
    <t>O(1) - Front</t>
  </si>
  <si>
    <t>Time</t>
  </si>
  <si>
    <t>Set</t>
  </si>
  <si>
    <t>Add</t>
  </si>
  <si>
    <t>Remove</t>
  </si>
  <si>
    <t>Contains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</si>
</sst>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FFFFFF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NumberFormat="1"/>
    <xf numFmtId="0" fontId="1" fillId="0" borderId="0" xfId="0" applyFont="1"/>
    <xf numFmtId="164" fontId="0" fillId="0" borderId="0" xfId="0" applyNumberFormat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5" fillId="3" borderId="1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0" borderId="1" xfId="0" applyFont="1" applyBorder="1"/>
    <xf numFmtId="164" fontId="5" fillId="3" borderId="2" xfId="0" applyNumberFormat="1" applyFont="1" applyFill="1" applyBorder="1"/>
    <xf numFmtId="164" fontId="5" fillId="3" borderId="3" xfId="0" applyNumberFormat="1" applyFont="1" applyFill="1" applyBorder="1"/>
    <xf numFmtId="1" fontId="5" fillId="0" borderId="2" xfId="0" applyNumberFormat="1" applyFont="1" applyBorder="1"/>
    <xf numFmtId="1" fontId="0" fillId="0" borderId="0" xfId="0" applyNumberFormat="1"/>
    <xf numFmtId="1" fontId="4" fillId="2" borderId="2" xfId="0" applyNumberFormat="1" applyFont="1" applyFill="1" applyBorder="1"/>
    <xf numFmtId="1" fontId="5" fillId="3" borderId="2" xfId="0" applyNumberFormat="1" applyFont="1" applyFill="1" applyBorder="1"/>
    <xf numFmtId="1" fontId="4" fillId="2" borderId="3" xfId="0" applyNumberFormat="1" applyFont="1" applyFill="1" applyBorder="1"/>
    <xf numFmtId="0" fontId="0" fillId="4" borderId="4" xfId="0" applyFont="1" applyFill="1" applyBorder="1"/>
    <xf numFmtId="0" fontId="0" fillId="0" borderId="4" xfId="0" applyFont="1" applyBorder="1"/>
    <xf numFmtId="0" fontId="0" fillId="4" borderId="0" xfId="0" applyFont="1" applyFill="1" applyBorder="1"/>
    <xf numFmtId="0" fontId="0" fillId="0" borderId="0" xfId="0" applyFont="1" applyFill="1" applyBorder="1"/>
    <xf numFmtId="18" fontId="0" fillId="0" borderId="0" xfId="0" applyNumberFormat="1"/>
    <xf numFmtId="164" fontId="0" fillId="4" borderId="4" xfId="0" applyNumberFormat="1" applyFont="1" applyFill="1" applyBorder="1"/>
    <xf numFmtId="164" fontId="0" fillId="0" borderId="4" xfId="0" applyNumberFormat="1" applyFont="1" applyBorder="1"/>
    <xf numFmtId="164" fontId="0" fillId="4" borderId="0" xfId="0" applyNumberFormat="1" applyFont="1" applyFill="1" applyBorder="1"/>
    <xf numFmtId="164" fontId="0" fillId="0" borderId="0" xfId="0" applyNumberFormat="1" applyFont="1" applyFill="1" applyBorder="1"/>
  </cellXfs>
  <cellStyles count="1">
    <cellStyle name="Обычный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4" formatCode="0.0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4" formatCode="0.0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4" formatCode="0.0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numFmt numFmtId="23" formatCode="h:mm\ AM/PM"/>
    </dxf>
    <dxf>
      <numFmt numFmtId="0" formatCode="General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55F903-A071-4DB0-911B-0C27CAFBFF4F}" autoFormatId="16" applyNumberFormats="0" applyBorderFormats="0" applyFontFormats="0" applyPatternFormats="0" applyAlignmentFormats="0" applyWidthHeightFormats="0">
  <queryTableRefresh nextId="9" unboundColumnsRight="1">
    <queryTableFields count="5">
      <queryTableField id="1" name="DataStructure" tableColumnId="1"/>
      <queryTableField id="2" name="Method" tableColumnId="2"/>
      <queryTableField id="3" name="N" tableColumnId="3"/>
      <queryTableField id="4" name="TimeMs" tableColumnId="4"/>
      <queryTableField id="8" dataBound="0" tableColumnId="5"/>
    </queryTableFields>
    <queryTableDeletedFields count="2">
      <deletedField name="Column1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7C6B7-6A24-4A65-971D-22511E02304E}" name="result" displayName="result" ref="A1:E359" tableType="queryTable" totalsRowShown="0">
  <autoFilter ref="A1:E359" xr:uid="{EDF7C6B7-6A24-4A65-971D-22511E02304E}"/>
  <sortState xmlns:xlrd2="http://schemas.microsoft.com/office/spreadsheetml/2017/richdata2" ref="A2:E359">
    <sortCondition ref="A1:A359"/>
  </sortState>
  <tableColumns count="5">
    <tableColumn id="1" xr3:uid="{D00FBC14-B1C3-4BCE-9329-39EACFB90006}" uniqueName="1" name="DataStructure" queryTableFieldId="1" dataDxfId="6"/>
    <tableColumn id="2" xr3:uid="{3EE48D8A-B774-4173-870F-3BED8509F06C}" uniqueName="2" name="Method" queryTableFieldId="2" dataDxfId="5"/>
    <tableColumn id="3" xr3:uid="{C15E01A6-743E-4CAA-8ADA-EFA1C987DC88}" uniqueName="3" name="N" queryTableFieldId="3"/>
    <tableColumn id="4" xr3:uid="{DA5B4816-40E4-4560-B387-DF23BE033252}" uniqueName="4" name="TimeMs" queryTableFieldId="4"/>
    <tableColumn id="5" xr3:uid="{EE45A6D4-C888-4405-8638-7A6B85A59D5A}" uniqueName="5" name="Time" queryTableFieldId="8" dataDxfId="4">
      <calculatedColumnFormula>TIME(,,result[[#This Row],[TimeMs]]/(1000))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7E9EFA-2301-4F84-AC9A-B6619FA6ECEF}" name="Push" displayName="Push" ref="H2:M6" totalsRowShown="0">
  <autoFilter ref="H2:M6" xr:uid="{F07E9EFA-2301-4F84-AC9A-B6619FA6ECEF}"/>
  <tableColumns count="6">
    <tableColumn id="1" xr3:uid="{922FD4CF-0841-4FC8-A8DA-61A8F6523DC1}" name="N"/>
    <tableColumn id="2" xr3:uid="{E1ACB4B2-F40D-41C9-AC5E-2BD25FBF8270}" name="One-way list" dataDxfId="25">
      <calculatedColumnFormula>AVERAGEIFS(result[TimeMs], result[DataStructure],I$2, result[Method],$H$1, result[N],$H3)</calculatedColumnFormula>
    </tableColumn>
    <tableColumn id="3" xr3:uid="{458B197D-66DC-4E66-8EDD-6A48788DE188}" name="Two-way list" dataDxfId="24">
      <calculatedColumnFormula>AVERAGEIFS(result[TimeMs], result[DataStructure],J$2, result[Method], H$1, result[N],$H3)</calculatedColumnFormula>
    </tableColumn>
    <tableColumn id="4" xr3:uid="{B4CFD20A-8095-4B94-AB40-01279E8B8B51}" name="Cycle List" dataDxfId="23">
      <calculatedColumnFormula>AVERAGEIFS(result[TimeMs], result[DataStructure],K$2, result[Method], $H$1, result[N],$H3)</calculatedColumnFormula>
    </tableColumn>
    <tableColumn id="5" xr3:uid="{5707C29E-CB66-4776-A867-CA77AC556196}" name="Stack" dataDxfId="22">
      <calculatedColumnFormula>AVERAGEIFS(result[TimeMs], result[DataStructure],L$2, result[Method], $H$1, result[N],$H3)</calculatedColumnFormula>
    </tableColumn>
    <tableColumn id="6" xr3:uid="{89AD9D72-C74D-441D-90BE-254A6401B9AA}" name="Queue" dataDxfId="21">
      <calculatedColumnFormula>AVERAGEIFS(result[TimeMs], result[DataStructure],M$2, result[Method], $H$1, result[N],$H3)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B568D2-32A7-4527-ACB6-C350E0872320}" name="Pop" displayName="Pop" ref="H8:N12" totalsRowShown="0">
  <autoFilter ref="H8:N12" xr:uid="{C7B568D2-32A7-4527-ACB6-C350E0872320}"/>
  <tableColumns count="7">
    <tableColumn id="1" xr3:uid="{ED9C3367-B39D-48F4-BD9B-079AFB7E866B}" name="N"/>
    <tableColumn id="2" xr3:uid="{67020CC5-F495-4652-B14E-F620EDB6E6CB}" name="One-way list" dataDxfId="20">
      <calculatedColumnFormula>AVERAGEIFS(result[TimeMs],result[DataStructure],I$2, result[Method],"Pop Back",result[N],$H9)</calculatedColumnFormula>
    </tableColumn>
    <tableColumn id="7" xr3:uid="{D535225F-309D-43C5-ACCB-FC23D3672AA3}" name="One-way list2" dataDxfId="19">
      <calculatedColumnFormula>AVERAGEIFS(result[TimeMs],result[DataStructure],Push[[#Headers],[One-way list]], result[Method],"Pop Front",result[N],$H9)</calculatedColumnFormula>
    </tableColumn>
    <tableColumn id="3" xr3:uid="{0166DABD-4919-44C2-AB30-A53237B8805F}" name="Two-way list" dataDxfId="18">
      <calculatedColumnFormula>AVERAGEIFS(result[TimeMs], result[DataStructure],J$2, result[Method], $H$7, result[N],$H9)</calculatedColumnFormula>
    </tableColumn>
    <tableColumn id="4" xr3:uid="{B3813D22-792F-4D65-8606-FEE0EBEF8066}" name="Cycle List" dataDxfId="17">
      <calculatedColumnFormula>AVERAGEIFS(result[TimeMs], result[DataStructure],K$2, result[Method], $H$7, result[N],$H9)</calculatedColumnFormula>
    </tableColumn>
    <tableColumn id="5" xr3:uid="{66EF42B5-835F-4467-92BC-1C9D3BD1C6FD}" name="Stack" dataDxfId="16">
      <calculatedColumnFormula>AVERAGEIFS(result[TimeMs], result[DataStructure],L$2, result[Method], $H$7, result[N],$H9)</calculatedColumnFormula>
    </tableColumn>
    <tableColumn id="6" xr3:uid="{BD5EAECE-5283-47AB-A3CF-A1587A2AA880}" name="Queue" dataDxfId="15">
      <calculatedColumnFormula>AVERAGEIFS(result[TimeMs], result[DataStructure],M$2, result[Method], $H$7, result[N],$H9)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7C021E-CAF4-4E41-95DE-DA4B7A79E672}" name="Insert" displayName="Insert" ref="H14:K18" totalsRowShown="0">
  <autoFilter ref="H14:K18" xr:uid="{C37C021E-CAF4-4E41-95DE-DA4B7A79E672}"/>
  <tableColumns count="4">
    <tableColumn id="1" xr3:uid="{46634B2A-4788-47A5-9E12-2845D7505692}" name="N"/>
    <tableColumn id="2" xr3:uid="{1588F352-7413-4A87-B5D1-89DC350F2FB5}" name="One-way list" dataDxfId="14">
      <calculatedColumnFormula>AVERAGEIFS(result[TimeMs], result[DataStructure],I$2, result[Method], $H$13, result[N],$H15)</calculatedColumnFormula>
    </tableColumn>
    <tableColumn id="3" xr3:uid="{7CC968B9-020E-49F2-84B3-E6518854F713}" name="Two-way list" dataDxfId="13">
      <calculatedColumnFormula>AVERAGEIFS(result[TimeMs], result[DataStructure],J$2, result[Method], $H$13, result[N],$H15)</calculatedColumnFormula>
    </tableColumn>
    <tableColumn id="4" xr3:uid="{CAEA5F31-B202-4F51-A268-97C0B4B807D9}" name="Cycle List" dataDxfId="12">
      <calculatedColumnFormula>AVERAGEIFS(result[TimeMs], result[DataStructure],K$2, result[Method], $H$13, result[N],$H15)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B97414-102A-4130-81F8-B020D0763686}" name="Delete" displayName="Delete" ref="H20:K24" totalsRowShown="0">
  <autoFilter ref="H20:K24" xr:uid="{38B97414-102A-4130-81F8-B020D0763686}"/>
  <tableColumns count="4">
    <tableColumn id="1" xr3:uid="{A7D0806B-8F0E-487E-A4CF-031EEEEDFB8D}" name="N"/>
    <tableColumn id="2" xr3:uid="{CAD1A864-A152-433C-BB32-604D6C6342EF}" name="One-way list" dataDxfId="11">
      <calculatedColumnFormula>AVERAGEIFS(result[TimeMs], result[DataStructure],I$2, result[Method], $H$19, result[N],$H21)</calculatedColumnFormula>
    </tableColumn>
    <tableColumn id="3" xr3:uid="{F2059681-D4DA-4719-AEB2-D5D660543D22}" name="Two-way list" dataDxfId="10">
      <calculatedColumnFormula>AVERAGEIFS(result[TimeMs], result[DataStructure],J$2, result[Method], $H$19, result[N],$H21)</calculatedColumnFormula>
    </tableColumn>
    <tableColumn id="4" xr3:uid="{1FA82BBB-7D33-4B0F-B798-C68470D21570}" name="Cycle List" dataDxfId="9">
      <calculatedColumnFormula>AVERAGEIFS(result[TimeMs], result[DataStructure],K$2, result[Method], $H$19, result[N],$H21)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F362FF-1419-4F71-9BA7-BBF72DC7381F}" name="Find" displayName="Find" ref="H26:J30" totalsRowShown="0">
  <autoFilter ref="H26:J30" xr:uid="{39F362FF-1419-4F71-9BA7-BBF72DC7381F}"/>
  <tableColumns count="3">
    <tableColumn id="1" xr3:uid="{12BD7FEE-0AC6-4A06-B9E3-1B4A2A67749C}" name="N"/>
    <tableColumn id="5" xr3:uid="{01716123-0DA0-48B0-8CA1-AD5DDC73BC17}" name="Stack" dataDxfId="8">
      <calculatedColumnFormula>AVERAGEIFS(result[TimeMs], result[DataStructure],L$2, result[Method], $H$25, result[N],$H27)</calculatedColumnFormula>
    </tableColumn>
    <tableColumn id="6" xr3:uid="{4768DFAA-C343-46C7-9A8A-56A6DD822A74}" name="Queue" dataDxfId="7">
      <calculatedColumnFormula>AVERAGEIFS(result[TimeMs], result[DataStructure],M$2, result[Method], $H$25, result[N],$H27)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51061F-1D9B-4260-AE1B-89A76789B393}" name="Таблица7" displayName="Таблица7" ref="H33:K39" totalsRowShown="0" dataDxfId="3">
  <autoFilter ref="H33:K39" xr:uid="{F251061F-1D9B-4260-AE1B-89A76789B393}"/>
  <tableColumns count="4">
    <tableColumn id="1" xr3:uid="{0FB33570-2168-4980-933E-D5F82A4924FA}" name="N"/>
    <tableColumn id="2" xr3:uid="{87FB8F16-E7D6-4D49-9198-D63F39D4809D}" name="Add" dataDxfId="2">
      <calculatedColumnFormula>AVERAGEIFS(result[TimeMs], result[DataStructure],$H$32, result[Method],I$33, result[N],$H34)</calculatedColumnFormula>
    </tableColumn>
    <tableColumn id="3" xr3:uid="{6ACDEA69-A311-4B5E-ABD7-05C365C45C8A}" name="Remove" dataDxfId="1">
      <calculatedColumnFormula>AVERAGEIFS(result[TimeMs], result[DataStructure],$H$32, result[Method],J$33, result[N],$H34)</calculatedColumnFormula>
    </tableColumn>
    <tableColumn id="4" xr3:uid="{D2BBAACD-CA22-4D84-B810-5254BD96EEA5}" name="Contains" dataDxfId="0">
      <calculatedColumnFormula>AVERAGEIFS(result[TimeMs], result[DataStructure],$H$32, result[Method],K$33, result[N],$H34)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6530-5F59-45CB-BC6E-884C1F1BA096}">
  <dimension ref="A1:V359"/>
  <sheetViews>
    <sheetView tabSelected="1" topLeftCell="A10" workbookViewId="0">
      <selection activeCell="L41" sqref="L41"/>
    </sheetView>
  </sheetViews>
  <sheetFormatPr defaultRowHeight="15" x14ac:dyDescent="0.25"/>
  <cols>
    <col min="1" max="1" width="15.5703125" bestFit="1" customWidth="1"/>
    <col min="2" max="2" width="10.42578125" bestFit="1" customWidth="1"/>
    <col min="3" max="3" width="8.140625" bestFit="1" customWidth="1"/>
    <col min="4" max="4" width="10.42578125" bestFit="1" customWidth="1"/>
    <col min="5" max="5" width="9.140625" bestFit="1" customWidth="1"/>
    <col min="6" max="6" width="11.140625" bestFit="1" customWidth="1"/>
    <col min="8" max="8" width="11.42578125" customWidth="1"/>
    <col min="9" max="11" width="14.28515625" customWidth="1"/>
    <col min="12" max="12" width="11.28515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21</v>
      </c>
      <c r="H1" s="2" t="s">
        <v>5</v>
      </c>
      <c r="I1" t="s">
        <v>14</v>
      </c>
      <c r="J1" t="s">
        <v>14</v>
      </c>
      <c r="K1" t="s">
        <v>14</v>
      </c>
      <c r="L1" t="s">
        <v>14</v>
      </c>
      <c r="M1" t="s">
        <v>14</v>
      </c>
      <c r="P1" t="str">
        <f t="shared" ref="P1:U1" si="0">H1</f>
        <v>Push</v>
      </c>
      <c r="Q1" t="str">
        <f t="shared" si="0"/>
        <v>O(1)</v>
      </c>
      <c r="R1" t="str">
        <f t="shared" si="0"/>
        <v>O(1)</v>
      </c>
      <c r="S1" t="str">
        <f t="shared" si="0"/>
        <v>O(1)</v>
      </c>
      <c r="T1" t="str">
        <f t="shared" si="0"/>
        <v>O(1)</v>
      </c>
      <c r="U1" t="str">
        <f t="shared" si="0"/>
        <v>O(1)</v>
      </c>
    </row>
    <row r="2" spans="1:22" x14ac:dyDescent="0.25">
      <c r="A2" s="1" t="s">
        <v>10</v>
      </c>
      <c r="B2" s="1" t="s">
        <v>5</v>
      </c>
      <c r="C2">
        <v>1000</v>
      </c>
      <c r="D2">
        <v>0</v>
      </c>
      <c r="E2" s="22">
        <f>TIME(,,result[[#This Row],[TimeMs]]/(1000))</f>
        <v>0</v>
      </c>
      <c r="H2" t="s">
        <v>2</v>
      </c>
      <c r="I2" t="s">
        <v>4</v>
      </c>
      <c r="J2" t="s">
        <v>9</v>
      </c>
      <c r="K2" t="s">
        <v>10</v>
      </c>
      <c r="L2" t="s">
        <v>13</v>
      </c>
      <c r="M2" t="s">
        <v>12</v>
      </c>
      <c r="P2" s="4" t="s">
        <v>2</v>
      </c>
      <c r="Q2" s="5" t="s">
        <v>4</v>
      </c>
      <c r="R2" s="5" t="s">
        <v>9</v>
      </c>
      <c r="S2" s="5" t="s">
        <v>10</v>
      </c>
      <c r="T2" s="5" t="s">
        <v>13</v>
      </c>
      <c r="U2" s="6" t="s">
        <v>12</v>
      </c>
    </row>
    <row r="3" spans="1:22" x14ac:dyDescent="0.25">
      <c r="A3" s="1" t="s">
        <v>10</v>
      </c>
      <c r="B3" s="1" t="s">
        <v>6</v>
      </c>
      <c r="C3">
        <v>1000</v>
      </c>
      <c r="D3">
        <v>0</v>
      </c>
      <c r="E3" s="22">
        <f>TIME(,,result[[#This Row],[TimeMs]]/(1000))</f>
        <v>0</v>
      </c>
      <c r="H3">
        <v>1000</v>
      </c>
      <c r="I3" s="3">
        <f>AVERAGEIFS(result[TimeMs], result[DataStructure],I$2, result[Method],$H$1, result[N],$H3)</f>
        <v>0</v>
      </c>
      <c r="J3" s="3">
        <f>AVERAGEIFS(result[TimeMs], result[DataStructure],J$2, result[Method], H$1, result[N],$H3)</f>
        <v>0</v>
      </c>
      <c r="K3" s="3">
        <f>AVERAGEIFS(result[TimeMs], result[DataStructure],K$2, result[Method], $H$1, result[N],$H3)</f>
        <v>0</v>
      </c>
      <c r="L3" s="3">
        <f>AVERAGEIFS(result[TimeMs], result[DataStructure],L$2, result[Method], $H$1, result[N],$H3)</f>
        <v>0</v>
      </c>
      <c r="M3" s="3">
        <f>AVERAGEIFS(result[TimeMs], result[DataStructure],M$2, result[Method], $H$1, result[N],$H3)</f>
        <v>0</v>
      </c>
      <c r="P3" s="7">
        <v>1000</v>
      </c>
      <c r="Q3" s="11"/>
      <c r="R3" s="11"/>
      <c r="S3" s="11"/>
      <c r="T3" s="11"/>
      <c r="U3" s="12"/>
    </row>
    <row r="4" spans="1:22" x14ac:dyDescent="0.25">
      <c r="A4" s="1" t="s">
        <v>10</v>
      </c>
      <c r="B4" s="1" t="s">
        <v>7</v>
      </c>
      <c r="C4">
        <v>1000</v>
      </c>
      <c r="D4">
        <v>5</v>
      </c>
      <c r="E4" s="22">
        <f>TIME(,,result[[#This Row],[TimeMs]]/(1000))</f>
        <v>0</v>
      </c>
      <c r="H4">
        <v>10000</v>
      </c>
      <c r="I4" s="3">
        <f>AVERAGEIFS(result[TimeMs], result[DataStructure],I$2, result[Method],$H$1, result[N],$H4)</f>
        <v>0</v>
      </c>
      <c r="J4" s="3">
        <f>AVERAGEIFS(result[TimeMs], result[DataStructure],J$2, result[Method], H$1, result[N],$H4)</f>
        <v>0</v>
      </c>
      <c r="K4" s="3">
        <f>AVERAGEIFS(result[TimeMs], result[DataStructure],K$2, result[Method], $H$1, result[N],$H4)</f>
        <v>0</v>
      </c>
      <c r="L4" s="3">
        <f>AVERAGEIFS(result[TimeMs], result[DataStructure],L$2, result[Method], $H$1, result[N],$H4)</f>
        <v>0</v>
      </c>
      <c r="M4" s="3">
        <f>AVERAGEIFS(result[TimeMs], result[DataStructure],M$2, result[Method], $H$1, result[N],$H4)</f>
        <v>6.75</v>
      </c>
      <c r="P4" s="10">
        <v>10000</v>
      </c>
      <c r="Q4" s="13">
        <f>IF(I3=0,0,Push[[#This Row],[One-way list]]/I3)</f>
        <v>0</v>
      </c>
      <c r="R4" s="13">
        <f>IF(J3=0,0,Push[[#This Row],[Two-way list]]/J3)</f>
        <v>0</v>
      </c>
      <c r="S4" s="13">
        <f>IF(K3=0,0,Push[[#This Row],[Cycle List]]/K3)</f>
        <v>0</v>
      </c>
      <c r="T4" s="13">
        <f>IF(L3=0,0,Push[[#This Row],[Stack]]/L3)</f>
        <v>0</v>
      </c>
      <c r="U4" s="13">
        <f>IF(M3=0,0,Push[[#This Row],[Queue]]/M3)</f>
        <v>0</v>
      </c>
    </row>
    <row r="5" spans="1:22" x14ac:dyDescent="0.25">
      <c r="A5" s="1" t="s">
        <v>10</v>
      </c>
      <c r="B5" s="1" t="s">
        <v>8</v>
      </c>
      <c r="C5">
        <v>1000</v>
      </c>
      <c r="D5">
        <v>4</v>
      </c>
      <c r="E5" s="22">
        <f>TIME(,,result[[#This Row],[TimeMs]]/(1000))</f>
        <v>0</v>
      </c>
      <c r="H5">
        <v>100000</v>
      </c>
      <c r="I5" s="3">
        <f>AVERAGEIFS(result[TimeMs], result[DataStructure],I$2, result[Method],$H$1, result[N],$H5)</f>
        <v>14.25</v>
      </c>
      <c r="J5" s="3">
        <f>AVERAGEIFS(result[TimeMs], result[DataStructure],J$2, result[Method], H$1, result[N],$H5)</f>
        <v>13.25</v>
      </c>
      <c r="K5" s="3">
        <f>AVERAGEIFS(result[TimeMs], result[DataStructure],K$2, result[Method], $H$1, result[N],$H5)</f>
        <v>15</v>
      </c>
      <c r="L5" s="3">
        <f>AVERAGEIFS(result[TimeMs], result[DataStructure],L$2, result[Method], $H$1, result[N],$H5)</f>
        <v>12</v>
      </c>
      <c r="M5" s="3">
        <f>AVERAGEIFS(result[TimeMs], result[DataStructure],M$2, result[Method], $H$1, result[N],$H5)</f>
        <v>4.5</v>
      </c>
      <c r="P5" s="7">
        <v>100000</v>
      </c>
      <c r="Q5" s="13">
        <f>IF(I4=0,0,Push[[#This Row],[One-way list]]/I4)</f>
        <v>0</v>
      </c>
      <c r="R5" s="13">
        <f>IF(J4=0,0,Push[[#This Row],[Two-way list]]/J4)</f>
        <v>0</v>
      </c>
      <c r="S5" s="13">
        <f>IF(K4=0,0,Push[[#This Row],[Cycle List]]/K4)</f>
        <v>0</v>
      </c>
      <c r="T5" s="13">
        <f>IF(L4=0,0,Push[[#This Row],[Stack]]/L4)</f>
        <v>0</v>
      </c>
      <c r="U5" s="13">
        <f>IF(M4=0,0,Push[[#This Row],[Queue]]/M4)</f>
        <v>0.66666666666666663</v>
      </c>
    </row>
    <row r="6" spans="1:22" x14ac:dyDescent="0.25">
      <c r="A6" s="1" t="s">
        <v>10</v>
      </c>
      <c r="B6" s="1" t="s">
        <v>5</v>
      </c>
      <c r="C6">
        <v>10000</v>
      </c>
      <c r="D6">
        <v>0</v>
      </c>
      <c r="E6" s="22">
        <f>TIME(,,result[[#This Row],[TimeMs]]/(1000))</f>
        <v>0</v>
      </c>
      <c r="H6">
        <v>200000</v>
      </c>
      <c r="I6" s="3">
        <f>AVERAGEIFS(result[TimeMs], result[DataStructure],I$2, result[Method],$H$1, result[N],$H6)</f>
        <v>19.25</v>
      </c>
      <c r="J6" s="3">
        <f>AVERAGEIFS(result[TimeMs], result[DataStructure],J$2, result[Method], H$1, result[N],$H6)</f>
        <v>22.75</v>
      </c>
      <c r="K6" s="3">
        <f>AVERAGEIFS(result[TimeMs], result[DataStructure],K$2, result[Method], $H$1, result[N],$H6)</f>
        <v>34.25</v>
      </c>
      <c r="L6" s="3">
        <f>AVERAGEIFS(result[TimeMs], result[DataStructure],L$2, result[Method], $H$1, result[N],$H6)</f>
        <v>12</v>
      </c>
      <c r="M6" s="3">
        <f>AVERAGEIFS(result[TimeMs], result[DataStructure],M$2, result[Method], $H$1, result[N],$H6)</f>
        <v>12.75</v>
      </c>
      <c r="P6" s="10">
        <v>200000</v>
      </c>
      <c r="Q6" s="13">
        <f>IF(I5=0,0,Push[[#This Row],[One-way list]]/I5)</f>
        <v>1.3508771929824561</v>
      </c>
      <c r="R6" s="13">
        <f>IF(J5=0,0,Push[[#This Row],[Two-way list]]/J5)</f>
        <v>1.7169811320754718</v>
      </c>
      <c r="S6" s="13">
        <f>IF(K5=0,0,Push[[#This Row],[Cycle List]]/K5)</f>
        <v>2.2833333333333332</v>
      </c>
      <c r="T6" s="13">
        <f>IF(L5=0,0,Push[[#This Row],[Stack]]/L5)</f>
        <v>1</v>
      </c>
      <c r="U6" s="13">
        <f>IF(M5=0,0,Push[[#This Row],[Queue]]/M5)</f>
        <v>2.8333333333333335</v>
      </c>
    </row>
    <row r="7" spans="1:22" x14ac:dyDescent="0.25">
      <c r="A7" s="1" t="s">
        <v>10</v>
      </c>
      <c r="B7" s="1" t="s">
        <v>6</v>
      </c>
      <c r="C7">
        <v>10000</v>
      </c>
      <c r="D7">
        <v>0</v>
      </c>
      <c r="E7" s="22">
        <f>TIME(,,result[[#This Row],[TimeMs]]/(1000))</f>
        <v>0</v>
      </c>
      <c r="H7" s="2" t="s">
        <v>6</v>
      </c>
      <c r="I7" t="s">
        <v>19</v>
      </c>
      <c r="J7" t="s">
        <v>20</v>
      </c>
      <c r="K7" t="s">
        <v>14</v>
      </c>
      <c r="L7" t="s">
        <v>14</v>
      </c>
      <c r="M7" t="s">
        <v>14</v>
      </c>
      <c r="N7" t="s">
        <v>14</v>
      </c>
      <c r="P7" t="str">
        <f>H7</f>
        <v>Pop</v>
      </c>
      <c r="Q7" t="str">
        <f>I7</f>
        <v>O(N) - Back</v>
      </c>
      <c r="R7" t="str">
        <f>J7</f>
        <v>O(1) - Front</v>
      </c>
      <c r="S7" t="str">
        <f t="shared" ref="S7:V7" si="1">K7</f>
        <v>O(1)</v>
      </c>
      <c r="T7" t="str">
        <f t="shared" si="1"/>
        <v>O(1)</v>
      </c>
      <c r="U7" t="str">
        <f t="shared" si="1"/>
        <v>O(1)</v>
      </c>
      <c r="V7" t="str">
        <f t="shared" si="1"/>
        <v>O(1)</v>
      </c>
    </row>
    <row r="8" spans="1:22" x14ac:dyDescent="0.25">
      <c r="A8" s="1" t="s">
        <v>10</v>
      </c>
      <c r="B8" s="1" t="s">
        <v>7</v>
      </c>
      <c r="C8">
        <v>10000</v>
      </c>
      <c r="D8">
        <v>470</v>
      </c>
      <c r="E8" s="22">
        <f>TIME(,,result[[#This Row],[TimeMs]]/(1000))</f>
        <v>0</v>
      </c>
      <c r="H8" t="s">
        <v>2</v>
      </c>
      <c r="I8" s="3" t="s">
        <v>4</v>
      </c>
      <c r="J8" s="3" t="s">
        <v>16</v>
      </c>
      <c r="K8" s="3" t="s">
        <v>9</v>
      </c>
      <c r="L8" s="3" t="s">
        <v>10</v>
      </c>
      <c r="M8" s="3" t="s">
        <v>13</v>
      </c>
      <c r="N8" s="3" t="s">
        <v>12</v>
      </c>
      <c r="P8" s="4" t="s">
        <v>2</v>
      </c>
      <c r="Q8" s="5" t="s">
        <v>4</v>
      </c>
      <c r="R8" s="5" t="s">
        <v>4</v>
      </c>
      <c r="S8" s="5" t="s">
        <v>9</v>
      </c>
      <c r="T8" s="5" t="s">
        <v>10</v>
      </c>
      <c r="U8" s="5" t="s">
        <v>13</v>
      </c>
      <c r="V8" s="6" t="s">
        <v>12</v>
      </c>
    </row>
    <row r="9" spans="1:22" x14ac:dyDescent="0.25">
      <c r="A9" s="1" t="s">
        <v>10</v>
      </c>
      <c r="B9" s="1" t="s">
        <v>8</v>
      </c>
      <c r="C9">
        <v>10000</v>
      </c>
      <c r="D9">
        <v>453</v>
      </c>
      <c r="E9" s="22">
        <f>TIME(,,result[[#This Row],[TimeMs]]/(1000))</f>
        <v>0</v>
      </c>
      <c r="H9">
        <v>1000</v>
      </c>
      <c r="I9" s="3">
        <f>AVERAGEIFS(result[TimeMs],result[DataStructure],I$2, result[Method],"Pop Back",result[N],$H9)</f>
        <v>4.75</v>
      </c>
      <c r="J9" s="3">
        <f>AVERAGEIFS(result[TimeMs],result[DataStructure],Push[[#Headers],[One-way list]], result[Method],"Pop Front",result[N],$H9)</f>
        <v>0</v>
      </c>
      <c r="K9" s="3">
        <f>AVERAGEIFS(result[TimeMs], result[DataStructure],J$2, result[Method], $H$7, result[N],$H9)</f>
        <v>0</v>
      </c>
      <c r="L9" s="3">
        <f>AVERAGEIFS(result[TimeMs], result[DataStructure],K$2, result[Method], $H$7, result[N],$H9)</f>
        <v>0</v>
      </c>
      <c r="M9" s="3">
        <f>AVERAGEIFS(result[TimeMs], result[DataStructure],L$2, result[Method], $H$7, result[N],$H9)</f>
        <v>0</v>
      </c>
      <c r="N9" s="3">
        <f>AVERAGEIFS(result[TimeMs], result[DataStructure],M$2, result[Method], $H$7, result[N],$H9)</f>
        <v>0</v>
      </c>
      <c r="P9" s="7">
        <v>1000</v>
      </c>
      <c r="Q9" s="8"/>
      <c r="R9" s="8"/>
      <c r="S9" s="8"/>
      <c r="T9" s="8"/>
      <c r="U9" s="8"/>
      <c r="V9" s="9"/>
    </row>
    <row r="10" spans="1:22" x14ac:dyDescent="0.25">
      <c r="A10" s="1" t="s">
        <v>10</v>
      </c>
      <c r="B10" s="1" t="s">
        <v>5</v>
      </c>
      <c r="C10">
        <v>100000</v>
      </c>
      <c r="D10">
        <v>6</v>
      </c>
      <c r="E10" s="22">
        <f>TIME(,,result[[#This Row],[TimeMs]]/(1000))</f>
        <v>0</v>
      </c>
      <c r="H10">
        <v>10000</v>
      </c>
      <c r="I10" s="3">
        <f>AVERAGEIFS(result[TimeMs],result[DataStructure],I$2, result[Method],"Pop Back",result[N],$H10)</f>
        <v>495.5</v>
      </c>
      <c r="J10" s="3">
        <f>AVERAGEIFS(result[TimeMs],result[DataStructure],Push[[#Headers],[One-way list]], result[Method],"Pop Front",result[N],$H10)</f>
        <v>0</v>
      </c>
      <c r="K10" s="3">
        <f>AVERAGEIFS(result[TimeMs], result[DataStructure],J$2, result[Method], $H$7, result[N],$H10)</f>
        <v>0</v>
      </c>
      <c r="L10" s="3">
        <f>AVERAGEIFS(result[TimeMs], result[DataStructure],K$2, result[Method], $H$7, result[N],$H10)</f>
        <v>0</v>
      </c>
      <c r="M10" s="3">
        <f>AVERAGEIFS(result[TimeMs], result[DataStructure],L$2, result[Method], $H$7, result[N],$H10)</f>
        <v>0</v>
      </c>
      <c r="N10" s="3">
        <f>AVERAGEIFS(result[TimeMs], result[DataStructure],M$2, result[Method], $H$7, result[N],$H10)</f>
        <v>0</v>
      </c>
      <c r="P10" s="10">
        <v>10000</v>
      </c>
      <c r="Q10" s="13">
        <f>IF(I9=0,0,Pop[[#This Row],[One-way list]]/I9)</f>
        <v>104.31578947368421</v>
      </c>
      <c r="R10" s="13">
        <f>IF(J9=0,0,Pop[[#This Row],[One-way list2]]/J9)</f>
        <v>0</v>
      </c>
      <c r="S10" s="13">
        <f>IF(K9=0,0,Pop[[#This Row],[Two-way list]]/K9)</f>
        <v>0</v>
      </c>
      <c r="T10" s="13">
        <f>IF(L9=0,0,Pop[[#This Row],[Cycle List]]/L9)</f>
        <v>0</v>
      </c>
      <c r="U10" s="13">
        <f>IF(M9=0,0,Pop[[#This Row],[Stack]]/M9)</f>
        <v>0</v>
      </c>
      <c r="V10" s="13">
        <f>IF(N9=0,0,Pop[[#This Row],[Queue]]/N9)</f>
        <v>0</v>
      </c>
    </row>
    <row r="11" spans="1:22" x14ac:dyDescent="0.25">
      <c r="A11" s="1" t="s">
        <v>10</v>
      </c>
      <c r="B11" s="1" t="s">
        <v>6</v>
      </c>
      <c r="C11">
        <v>100000</v>
      </c>
      <c r="D11">
        <v>2</v>
      </c>
      <c r="E11" s="22">
        <f>TIME(,,result[[#This Row],[TimeMs]]/(1000))</f>
        <v>0</v>
      </c>
      <c r="H11">
        <v>100000</v>
      </c>
      <c r="I11" s="3">
        <f>AVERAGEIFS(result[TimeMs],result[DataStructure],I$2, result[Method],"Pop Back",result[N],$H11)</f>
        <v>41998</v>
      </c>
      <c r="J11" s="3">
        <f>AVERAGEIFS(result[TimeMs],result[DataStructure],Push[[#Headers],[One-way list]], result[Method],"Pop Front",result[N],$H11)</f>
        <v>0</v>
      </c>
      <c r="K11" s="3">
        <f>AVERAGEIFS(result[TimeMs], result[DataStructure],J$2, result[Method], $H$7, result[N],$H11)</f>
        <v>2.5</v>
      </c>
      <c r="L11" s="3">
        <f>AVERAGEIFS(result[TimeMs], result[DataStructure],K$2, result[Method], $H$7, result[N],$H11)</f>
        <v>2.25</v>
      </c>
      <c r="M11" s="3">
        <f>AVERAGEIFS(result[TimeMs], result[DataStructure],L$2, result[Method], $H$7, result[N],$H11)</f>
        <v>1</v>
      </c>
      <c r="N11" s="3">
        <f>AVERAGEIFS(result[TimeMs], result[DataStructure],M$2, result[Method], $H$7, result[N],$H11)</f>
        <v>0.5</v>
      </c>
      <c r="P11" s="7">
        <v>100000</v>
      </c>
      <c r="Q11" s="13">
        <f>IF(I10=0,0,Pop[[#This Row],[One-way list]]/I10)</f>
        <v>84.758829465186679</v>
      </c>
      <c r="R11" s="13">
        <f>IF(J10=0,0,Pop[[#This Row],[One-way list2]]/J10)</f>
        <v>0</v>
      </c>
      <c r="S11" s="13">
        <f>IF(K10=0,0,Pop[[#This Row],[Two-way list]]/K10)</f>
        <v>0</v>
      </c>
      <c r="T11" s="13">
        <f>IF(L10=0,0,Pop[[#This Row],[Cycle List]]/L10)</f>
        <v>0</v>
      </c>
      <c r="U11" s="13">
        <f>IF(M10=0,0,Pop[[#This Row],[Stack]]/M10)</f>
        <v>0</v>
      </c>
      <c r="V11" s="13">
        <f>IF(N10=0,0,Pop[[#This Row],[Queue]]/N10)</f>
        <v>0</v>
      </c>
    </row>
    <row r="12" spans="1:22" x14ac:dyDescent="0.25">
      <c r="A12" s="1" t="s">
        <v>10</v>
      </c>
      <c r="B12" s="1" t="s">
        <v>7</v>
      </c>
      <c r="C12">
        <v>100000</v>
      </c>
      <c r="D12">
        <v>47104</v>
      </c>
      <c r="E12" s="22">
        <f>TIME(,,result[[#This Row],[TimeMs]]/(1000))</f>
        <v>5.4398148148148144E-4</v>
      </c>
      <c r="H12">
        <v>200000</v>
      </c>
      <c r="I12" s="3">
        <f>AVERAGEIFS(result[TimeMs],result[DataStructure],I$2, result[Method],"Pop Back",result[N],$H12)</f>
        <v>165295</v>
      </c>
      <c r="J12" s="3">
        <f>AVERAGEIFS(result[TimeMs],result[DataStructure],Push[[#Headers],[One-way list]], result[Method],"Pop Front",result[N],$H12)</f>
        <v>0.5</v>
      </c>
      <c r="K12" s="3">
        <f>AVERAGEIFS(result[TimeMs], result[DataStructure],J$2, result[Method], $H$7, result[N],$H12)</f>
        <v>3.25</v>
      </c>
      <c r="L12" s="3">
        <f>AVERAGEIFS(result[TimeMs], result[DataStructure],K$2, result[Method], $H$7, result[N],$H12)</f>
        <v>6</v>
      </c>
      <c r="M12" s="3">
        <f>AVERAGEIFS(result[TimeMs], result[DataStructure],L$2, result[Method], $H$7, result[N],$H12)</f>
        <v>3.25</v>
      </c>
      <c r="N12" s="3">
        <f>AVERAGEIFS(result[TimeMs], result[DataStructure],M$2, result[Method], $H$7, result[N],$H12)</f>
        <v>2</v>
      </c>
      <c r="P12" s="10">
        <v>200000</v>
      </c>
      <c r="Q12" s="13">
        <f>IF(I11=0,0,Pop[[#This Row],[One-way list]]/I11)</f>
        <v>3.9357826563169676</v>
      </c>
      <c r="R12" s="13">
        <f>IF(J11=0,0,Pop[[#This Row],[One-way list2]]/J11)</f>
        <v>0</v>
      </c>
      <c r="S12" s="13">
        <f>IF(K11=0,0,Pop[[#This Row],[Two-way list]]/K11)</f>
        <v>1.3</v>
      </c>
      <c r="T12" s="13">
        <f>IF(L11=0,0,Pop[[#This Row],[Cycle List]]/L11)</f>
        <v>2.6666666666666665</v>
      </c>
      <c r="U12" s="13">
        <f>IF(M11=0,0,Pop[[#This Row],[Stack]]/M11)</f>
        <v>3.25</v>
      </c>
      <c r="V12" s="13">
        <f>IF(N11=0,0,Pop[[#This Row],[Queue]]/N11)</f>
        <v>4</v>
      </c>
    </row>
    <row r="13" spans="1:22" x14ac:dyDescent="0.25">
      <c r="A13" s="1" t="s">
        <v>10</v>
      </c>
      <c r="B13" s="1" t="s">
        <v>8</v>
      </c>
      <c r="C13">
        <v>100000</v>
      </c>
      <c r="D13">
        <v>53537</v>
      </c>
      <c r="E13" s="22">
        <f>TIME(,,result[[#This Row],[TimeMs]]/(1000))</f>
        <v>6.134259259259259E-4</v>
      </c>
      <c r="H13" s="2" t="s">
        <v>7</v>
      </c>
      <c r="I13" t="s">
        <v>15</v>
      </c>
      <c r="J13" t="s">
        <v>15</v>
      </c>
      <c r="K13" t="s">
        <v>15</v>
      </c>
      <c r="P13" t="str">
        <f>H13</f>
        <v>Insert</v>
      </c>
      <c r="Q13" s="14" t="str">
        <f>I13</f>
        <v>O(N)</v>
      </c>
      <c r="R13" s="14" t="str">
        <f>J13</f>
        <v>O(N)</v>
      </c>
      <c r="S13" s="14" t="str">
        <f>K13</f>
        <v>O(N)</v>
      </c>
      <c r="T13" s="14"/>
      <c r="U13" s="14"/>
    </row>
    <row r="14" spans="1:22" x14ac:dyDescent="0.25">
      <c r="A14" s="1" t="s">
        <v>10</v>
      </c>
      <c r="B14" s="1" t="s">
        <v>5</v>
      </c>
      <c r="C14">
        <v>200000</v>
      </c>
      <c r="D14">
        <v>32</v>
      </c>
      <c r="E14" s="22">
        <f>TIME(,,result[[#This Row],[TimeMs]]/(1000))</f>
        <v>0</v>
      </c>
      <c r="H14" t="s">
        <v>2</v>
      </c>
      <c r="I14" s="3" t="s">
        <v>4</v>
      </c>
      <c r="J14" s="3" t="s">
        <v>9</v>
      </c>
      <c r="K14" s="3" t="s">
        <v>10</v>
      </c>
      <c r="L14" s="3"/>
      <c r="M14" s="3"/>
      <c r="P14" s="4" t="s">
        <v>2</v>
      </c>
      <c r="Q14" s="15" t="s">
        <v>4</v>
      </c>
      <c r="R14" s="15" t="s">
        <v>9</v>
      </c>
      <c r="S14" s="15" t="s">
        <v>10</v>
      </c>
      <c r="T14" s="14"/>
      <c r="U14" s="14"/>
    </row>
    <row r="15" spans="1:22" x14ac:dyDescent="0.25">
      <c r="A15" s="1" t="s">
        <v>10</v>
      </c>
      <c r="B15" s="1" t="s">
        <v>6</v>
      </c>
      <c r="C15">
        <v>200000</v>
      </c>
      <c r="D15">
        <v>8</v>
      </c>
      <c r="E15" s="22">
        <f>TIME(,,result[[#This Row],[TimeMs]]/(1000))</f>
        <v>0</v>
      </c>
      <c r="H15">
        <v>1000</v>
      </c>
      <c r="I15" s="3">
        <f>AVERAGEIFS(result[TimeMs], result[DataStructure],I$2, result[Method], $H$13, result[N],$H15)</f>
        <v>4</v>
      </c>
      <c r="J15" s="3">
        <f>AVERAGEIFS(result[TimeMs], result[DataStructure],J$2, result[Method], $H$13, result[N],$H15)</f>
        <v>3.5</v>
      </c>
      <c r="K15" s="3">
        <f>AVERAGEIFS(result[TimeMs], result[DataStructure],K$2, result[Method], $H$13, result[N],$H15)</f>
        <v>4.25</v>
      </c>
      <c r="L15" s="3"/>
      <c r="M15" s="3"/>
      <c r="P15" s="7">
        <v>1000</v>
      </c>
      <c r="Q15" s="16"/>
      <c r="R15" s="16"/>
      <c r="S15" s="16"/>
      <c r="T15" s="14"/>
      <c r="U15" s="14"/>
    </row>
    <row r="16" spans="1:22" x14ac:dyDescent="0.25">
      <c r="A16" s="1" t="s">
        <v>10</v>
      </c>
      <c r="B16" s="1" t="s">
        <v>7</v>
      </c>
      <c r="C16">
        <v>200000</v>
      </c>
      <c r="D16">
        <v>186411</v>
      </c>
      <c r="E16" s="22">
        <f>TIME(,,result[[#This Row],[TimeMs]]/(1000))</f>
        <v>2.1527777777777778E-3</v>
      </c>
      <c r="H16">
        <v>10000</v>
      </c>
      <c r="I16" s="3">
        <f>AVERAGEIFS(result[TimeMs], result[DataStructure],I$2, result[Method], $H$13, result[N],$H16)</f>
        <v>420.75</v>
      </c>
      <c r="J16" s="3">
        <f>AVERAGEIFS(result[TimeMs], result[DataStructure],J$2, result[Method], $H$13, result[N],$H16)</f>
        <v>348.5</v>
      </c>
      <c r="K16" s="3">
        <f>AVERAGEIFS(result[TimeMs], result[DataStructure],K$2, result[Method], $H$13, result[N],$H16)</f>
        <v>417.75</v>
      </c>
      <c r="L16" s="3"/>
      <c r="M16" s="3"/>
      <c r="P16" s="10">
        <v>10000</v>
      </c>
      <c r="Q16" s="13">
        <f>IF(I15=0,0,Insert[[#This Row],[One-way list]]/I15)</f>
        <v>105.1875</v>
      </c>
      <c r="R16" s="13">
        <f>IF(J15=0,0,Insert[[#This Row],[Two-way list]]/J15)</f>
        <v>99.571428571428569</v>
      </c>
      <c r="S16" s="13">
        <f>IF(K15=0,0,Insert[[#This Row],[Cycle List]]/K15)</f>
        <v>98.294117647058826</v>
      </c>
      <c r="T16" s="14"/>
      <c r="U16" s="14"/>
    </row>
    <row r="17" spans="1:21" x14ac:dyDescent="0.25">
      <c r="A17" s="1" t="s">
        <v>10</v>
      </c>
      <c r="B17" s="1" t="s">
        <v>8</v>
      </c>
      <c r="C17">
        <v>200000</v>
      </c>
      <c r="D17">
        <v>190499</v>
      </c>
      <c r="E17" s="22">
        <f>TIME(,,result[[#This Row],[TimeMs]]/(1000))</f>
        <v>2.1990740740740742E-3</v>
      </c>
      <c r="H17">
        <v>100000</v>
      </c>
      <c r="I17" s="3">
        <f>AVERAGEIFS(result[TimeMs], result[DataStructure],I$2, result[Method], $H$13, result[N],$H17)</f>
        <v>41410.5</v>
      </c>
      <c r="J17" s="3">
        <f>AVERAGEIFS(result[TimeMs], result[DataStructure],J$2, result[Method], $H$13, result[N],$H17)</f>
        <v>36397.5</v>
      </c>
      <c r="K17" s="3">
        <f>AVERAGEIFS(result[TimeMs], result[DataStructure],K$2, result[Method], $H$13, result[N],$H17)</f>
        <v>42983.75</v>
      </c>
      <c r="L17" s="3"/>
      <c r="M17" s="3"/>
      <c r="P17" s="7">
        <v>100000</v>
      </c>
      <c r="Q17" s="13">
        <f>IF(I16=0,0,Insert[[#This Row],[One-way list]]/I16)</f>
        <v>98.420677361853834</v>
      </c>
      <c r="R17" s="13">
        <f>IF(J16=0,0,Insert[[#This Row],[Two-way list]]/J16)</f>
        <v>104.44045911047345</v>
      </c>
      <c r="S17" s="13">
        <f>IF(K16=0,0,Insert[[#This Row],[Cycle List]]/K16)</f>
        <v>102.89347695990425</v>
      </c>
      <c r="T17" s="14"/>
      <c r="U17" s="14"/>
    </row>
    <row r="18" spans="1:21" x14ac:dyDescent="0.25">
      <c r="A18" s="1" t="s">
        <v>10</v>
      </c>
      <c r="B18" s="1" t="s">
        <v>5</v>
      </c>
      <c r="C18">
        <v>1000</v>
      </c>
      <c r="D18">
        <v>0</v>
      </c>
      <c r="E18" s="22">
        <f>TIME(,,result[[#This Row],[TimeMs]]/(1000))</f>
        <v>0</v>
      </c>
      <c r="H18">
        <v>200000</v>
      </c>
      <c r="I18" s="3">
        <f>AVERAGEIFS(result[TimeMs], result[DataStructure],I$2, result[Method], $H$13, result[N],$H18)</f>
        <v>171096</v>
      </c>
      <c r="J18" s="3">
        <f>AVERAGEIFS(result[TimeMs], result[DataStructure],J$2, result[Method], $H$13, result[N],$H18)</f>
        <v>149016.5</v>
      </c>
      <c r="K18" s="3">
        <f>AVERAGEIFS(result[TimeMs], result[DataStructure],K$2, result[Method], $H$13, result[N],$H18)</f>
        <v>170443</v>
      </c>
      <c r="L18" s="3"/>
      <c r="M18" s="3"/>
      <c r="P18" s="10">
        <v>200000</v>
      </c>
      <c r="Q18" s="13">
        <f>IF(I17=0,0,Insert[[#This Row],[One-way list]]/I17)</f>
        <v>4.1317057268084181</v>
      </c>
      <c r="R18" s="13">
        <f>IF(J17=0,0,Insert[[#This Row],[Two-way list]]/J17)</f>
        <v>4.0941410811182086</v>
      </c>
      <c r="S18" s="13">
        <f>IF(K17=0,0,Insert[[#This Row],[Cycle List]]/K17)</f>
        <v>3.9652892081309798</v>
      </c>
      <c r="T18" s="14"/>
      <c r="U18" s="14"/>
    </row>
    <row r="19" spans="1:21" x14ac:dyDescent="0.25">
      <c r="A19" s="1" t="s">
        <v>10</v>
      </c>
      <c r="B19" s="1" t="s">
        <v>6</v>
      </c>
      <c r="C19">
        <v>1000</v>
      </c>
      <c r="D19">
        <v>0</v>
      </c>
      <c r="E19" s="22">
        <f>TIME(,,result[[#This Row],[TimeMs]]/(1000))</f>
        <v>0</v>
      </c>
      <c r="H19" s="2" t="s">
        <v>8</v>
      </c>
      <c r="I19" t="s">
        <v>15</v>
      </c>
      <c r="J19" t="s">
        <v>15</v>
      </c>
      <c r="K19" t="s">
        <v>15</v>
      </c>
      <c r="P19" t="str">
        <f>H19</f>
        <v>Delete</v>
      </c>
      <c r="Q19" s="14" t="str">
        <f>I19</f>
        <v>O(N)</v>
      </c>
      <c r="R19" s="14" t="str">
        <f>J19</f>
        <v>O(N)</v>
      </c>
      <c r="S19" s="14" t="str">
        <f>K19</f>
        <v>O(N)</v>
      </c>
      <c r="T19" s="14"/>
      <c r="U19" s="14"/>
    </row>
    <row r="20" spans="1:21" x14ac:dyDescent="0.25">
      <c r="A20" s="1" t="s">
        <v>10</v>
      </c>
      <c r="B20" s="1" t="s">
        <v>7</v>
      </c>
      <c r="C20">
        <v>1000</v>
      </c>
      <c r="D20">
        <v>4</v>
      </c>
      <c r="E20" s="22">
        <f>TIME(,,result[[#This Row],[TimeMs]]/(1000))</f>
        <v>0</v>
      </c>
      <c r="H20" t="s">
        <v>2</v>
      </c>
      <c r="I20" s="3" t="s">
        <v>4</v>
      </c>
      <c r="J20" s="3" t="s">
        <v>9</v>
      </c>
      <c r="K20" s="3" t="s">
        <v>10</v>
      </c>
      <c r="L20" s="3"/>
      <c r="M20" s="3"/>
      <c r="P20" s="4" t="s">
        <v>2</v>
      </c>
      <c r="Q20" s="15" t="s">
        <v>4</v>
      </c>
      <c r="R20" s="15" t="s">
        <v>9</v>
      </c>
      <c r="S20" s="15" t="s">
        <v>10</v>
      </c>
      <c r="T20" s="14"/>
      <c r="U20" s="14"/>
    </row>
    <row r="21" spans="1:21" x14ac:dyDescent="0.25">
      <c r="A21" s="1" t="s">
        <v>10</v>
      </c>
      <c r="B21" s="1" t="s">
        <v>8</v>
      </c>
      <c r="C21">
        <v>1000</v>
      </c>
      <c r="D21">
        <v>4</v>
      </c>
      <c r="E21" s="22">
        <f>TIME(,,result[[#This Row],[TimeMs]]/(1000))</f>
        <v>0</v>
      </c>
      <c r="H21">
        <v>1000</v>
      </c>
      <c r="I21" s="3">
        <f>AVERAGEIFS(result[TimeMs], result[DataStructure],I$2, result[Method], $H$19, result[N],$H21)</f>
        <v>4.25</v>
      </c>
      <c r="J21" s="3">
        <f>AVERAGEIFS(result[TimeMs], result[DataStructure],J$2, result[Method], $H$19, result[N],$H21)</f>
        <v>2.75</v>
      </c>
      <c r="K21" s="3">
        <f>AVERAGEIFS(result[TimeMs], result[DataStructure],K$2, result[Method], $H$19, result[N],$H21)</f>
        <v>4</v>
      </c>
      <c r="L21" s="3"/>
      <c r="M21" s="3"/>
      <c r="P21" s="7">
        <v>1000</v>
      </c>
      <c r="Q21" s="16"/>
      <c r="R21" s="16"/>
      <c r="S21" s="16"/>
      <c r="T21" s="14"/>
      <c r="U21" s="14"/>
    </row>
    <row r="22" spans="1:21" x14ac:dyDescent="0.25">
      <c r="A22" s="1" t="s">
        <v>10</v>
      </c>
      <c r="B22" s="1" t="s">
        <v>5</v>
      </c>
      <c r="C22">
        <v>10000</v>
      </c>
      <c r="D22">
        <v>0</v>
      </c>
      <c r="E22" s="22">
        <f>TIME(,,result[[#This Row],[TimeMs]]/(1000))</f>
        <v>0</v>
      </c>
      <c r="H22">
        <v>10000</v>
      </c>
      <c r="I22" s="3">
        <f>AVERAGEIFS(result[TimeMs], result[DataStructure],I$2, result[Method], $H$19, result[N],$H22)</f>
        <v>508.25</v>
      </c>
      <c r="J22" s="3">
        <f>AVERAGEIFS(result[TimeMs], result[DataStructure],J$2, result[Method], $H$19, result[N],$H22)</f>
        <v>267.75</v>
      </c>
      <c r="K22" s="3">
        <f>AVERAGEIFS(result[TimeMs], result[DataStructure],K$2, result[Method], $H$19, result[N],$H22)</f>
        <v>433.75</v>
      </c>
      <c r="L22" s="3"/>
      <c r="M22" s="3"/>
      <c r="P22" s="10">
        <v>10000</v>
      </c>
      <c r="Q22" s="13">
        <f>IF(I21=0,0,Delete[[#This Row],[One-way list]]/I21)</f>
        <v>119.58823529411765</v>
      </c>
      <c r="R22" s="13">
        <f>IF(J21=0,0,Delete[[#This Row],[Two-way list]]/J21)</f>
        <v>97.36363636363636</v>
      </c>
      <c r="S22" s="13">
        <f>IF(K21=0,0,Delete[[#This Row],[Cycle List]]/K21)</f>
        <v>108.4375</v>
      </c>
      <c r="T22" s="14"/>
      <c r="U22" s="14"/>
    </row>
    <row r="23" spans="1:21" x14ac:dyDescent="0.25">
      <c r="A23" s="1" t="s">
        <v>10</v>
      </c>
      <c r="B23" s="1" t="s">
        <v>6</v>
      </c>
      <c r="C23">
        <v>10000</v>
      </c>
      <c r="D23">
        <v>0</v>
      </c>
      <c r="E23" s="22">
        <f>TIME(,,result[[#This Row],[TimeMs]]/(1000))</f>
        <v>0</v>
      </c>
      <c r="H23">
        <v>100000</v>
      </c>
      <c r="I23" s="3">
        <f>AVERAGEIFS(result[TimeMs], result[DataStructure],I$2, result[Method], $H$19, result[N],$H23)</f>
        <v>46431.5</v>
      </c>
      <c r="J23" s="3">
        <f>AVERAGEIFS(result[TimeMs], result[DataStructure],J$2, result[Method], $H$19, result[N],$H23)</f>
        <v>28679.25</v>
      </c>
      <c r="K23" s="3">
        <f>AVERAGEIFS(result[TimeMs], result[DataStructure],K$2, result[Method], $H$19, result[N],$H23)</f>
        <v>47854.5</v>
      </c>
      <c r="L23" s="3"/>
      <c r="M23" s="3"/>
      <c r="P23" s="7">
        <v>100000</v>
      </c>
      <c r="Q23" s="13">
        <f>IF(I22=0,0,Delete[[#This Row],[One-way list]]/I22)</f>
        <v>91.355632070831277</v>
      </c>
      <c r="R23" s="13">
        <f>IF(J22=0,0,Delete[[#This Row],[Two-way list]]/J22)</f>
        <v>107.11204481792717</v>
      </c>
      <c r="S23" s="13">
        <f>IF(K22=0,0,Delete[[#This Row],[Cycle List]]/K22)</f>
        <v>110.32737752161383</v>
      </c>
      <c r="T23" s="14"/>
      <c r="U23" s="14"/>
    </row>
    <row r="24" spans="1:21" x14ac:dyDescent="0.25">
      <c r="A24" s="1" t="s">
        <v>10</v>
      </c>
      <c r="B24" s="1" t="s">
        <v>7</v>
      </c>
      <c r="C24">
        <v>10000</v>
      </c>
      <c r="D24">
        <v>410</v>
      </c>
      <c r="E24" s="22">
        <f>TIME(,,result[[#This Row],[TimeMs]]/(1000))</f>
        <v>0</v>
      </c>
      <c r="H24">
        <v>200000</v>
      </c>
      <c r="I24" s="3">
        <f>AVERAGEIFS(result[TimeMs], result[DataStructure],I$2, result[Method], $H$19, result[N],$H24)</f>
        <v>209403.75</v>
      </c>
      <c r="J24" s="3">
        <f>AVERAGEIFS(result[TimeMs], result[DataStructure],J$2, result[Method], $H$19, result[N],$H24)</f>
        <v>125402</v>
      </c>
      <c r="K24" s="3">
        <f>AVERAGEIFS(result[TimeMs], result[DataStructure],K$2, result[Method], $H$19, result[N],$H24)</f>
        <v>201820.5</v>
      </c>
      <c r="L24" s="3"/>
      <c r="M24" s="3"/>
      <c r="P24" s="10">
        <v>200000</v>
      </c>
      <c r="Q24" s="13">
        <f>IF(I23=0,0,Delete[[#This Row],[One-way list]]/I23)</f>
        <v>4.5099501416064527</v>
      </c>
      <c r="R24" s="13">
        <f>IF(J23=0,0,Delete[[#This Row],[Two-way list]]/J23)</f>
        <v>4.3725690176695693</v>
      </c>
      <c r="S24" s="13">
        <f>IF(K23=0,0,Delete[[#This Row],[Cycle List]]/K23)</f>
        <v>4.217377676080619</v>
      </c>
      <c r="T24" s="14"/>
      <c r="U24" s="14"/>
    </row>
    <row r="25" spans="1:21" x14ac:dyDescent="0.25">
      <c r="A25" s="1" t="s">
        <v>10</v>
      </c>
      <c r="B25" s="1" t="s">
        <v>8</v>
      </c>
      <c r="C25">
        <v>10000</v>
      </c>
      <c r="D25">
        <v>429</v>
      </c>
      <c r="E25" s="22">
        <f>TIME(,,result[[#This Row],[TimeMs]]/(1000))</f>
        <v>0</v>
      </c>
      <c r="H25" s="2" t="s">
        <v>11</v>
      </c>
      <c r="I25" t="s">
        <v>15</v>
      </c>
      <c r="J25" t="s">
        <v>15</v>
      </c>
      <c r="P25" t="str">
        <f>H25</f>
        <v>Find</v>
      </c>
      <c r="Q25" s="14" t="str">
        <f>I25</f>
        <v>O(N)</v>
      </c>
      <c r="R25" s="14" t="str">
        <f>J25</f>
        <v>O(N)</v>
      </c>
      <c r="S25" s="14"/>
      <c r="T25" s="14"/>
      <c r="U25" s="14"/>
    </row>
    <row r="26" spans="1:21" x14ac:dyDescent="0.25">
      <c r="A26" s="1" t="s">
        <v>10</v>
      </c>
      <c r="B26" s="1" t="s">
        <v>5</v>
      </c>
      <c r="C26">
        <v>100000</v>
      </c>
      <c r="D26">
        <v>18</v>
      </c>
      <c r="E26" s="22">
        <f>TIME(,,result[[#This Row],[TimeMs]]/(1000))</f>
        <v>0</v>
      </c>
      <c r="H26" t="s">
        <v>2</v>
      </c>
      <c r="I26" s="3" t="s">
        <v>13</v>
      </c>
      <c r="J26" s="3" t="s">
        <v>12</v>
      </c>
      <c r="K26" s="3"/>
      <c r="L26" s="3"/>
      <c r="M26" s="3"/>
      <c r="P26" s="4" t="s">
        <v>2</v>
      </c>
      <c r="Q26" s="15" t="s">
        <v>13</v>
      </c>
      <c r="R26" s="17" t="s">
        <v>12</v>
      </c>
      <c r="S26" s="14"/>
      <c r="T26" s="14"/>
      <c r="U26" s="14"/>
    </row>
    <row r="27" spans="1:21" x14ac:dyDescent="0.25">
      <c r="A27" s="1" t="s">
        <v>10</v>
      </c>
      <c r="B27" s="1" t="s">
        <v>6</v>
      </c>
      <c r="C27">
        <v>100000</v>
      </c>
      <c r="D27">
        <v>2</v>
      </c>
      <c r="E27" s="22">
        <f>TIME(,,result[[#This Row],[TimeMs]]/(1000))</f>
        <v>0</v>
      </c>
      <c r="H27">
        <v>1000</v>
      </c>
      <c r="I27" s="3">
        <f>AVERAGEIFS(result[TimeMs], result[DataStructure],L$2, result[Method], $H$25, result[N],$H27)</f>
        <v>4.5</v>
      </c>
      <c r="J27" s="3">
        <f>AVERAGEIFS(result[TimeMs], result[DataStructure],M$2, result[Method], $H$25, result[N],$H27)</f>
        <v>4.25</v>
      </c>
      <c r="K27" s="3"/>
      <c r="L27" s="3"/>
      <c r="M27" s="3"/>
      <c r="P27" s="7">
        <v>1000</v>
      </c>
      <c r="Q27" s="16"/>
      <c r="R27" s="16"/>
      <c r="S27" s="14"/>
      <c r="T27" s="14"/>
      <c r="U27" s="14"/>
    </row>
    <row r="28" spans="1:21" x14ac:dyDescent="0.25">
      <c r="A28" s="1" t="s">
        <v>10</v>
      </c>
      <c r="B28" s="1" t="s">
        <v>7</v>
      </c>
      <c r="C28">
        <v>100000</v>
      </c>
      <c r="D28">
        <v>41744</v>
      </c>
      <c r="E28" s="22">
        <f>TIME(,,result[[#This Row],[TimeMs]]/(1000))</f>
        <v>4.7453703703703704E-4</v>
      </c>
      <c r="H28">
        <v>10000</v>
      </c>
      <c r="I28" s="3">
        <f>AVERAGEIFS(result[TimeMs], result[DataStructure],L$2, result[Method], $H$25, result[N],$H28)</f>
        <v>400.75</v>
      </c>
      <c r="J28" s="3">
        <f>AVERAGEIFS(result[TimeMs], result[DataStructure],M$2, result[Method], $H$25, result[N],$H28)</f>
        <v>415.5</v>
      </c>
      <c r="K28" s="3"/>
      <c r="L28" s="3"/>
      <c r="M28" s="3"/>
      <c r="P28" s="10">
        <v>10000</v>
      </c>
      <c r="Q28" s="13">
        <f>IF(I27=0,0,Find[[#This Row],[Stack]]/I27)</f>
        <v>89.055555555555557</v>
      </c>
      <c r="R28" s="13">
        <f>IF(J27=0,0,Find[[#This Row],[Queue]]/J27)</f>
        <v>97.764705882352942</v>
      </c>
      <c r="S28" s="14"/>
      <c r="T28" s="14"/>
      <c r="U28" s="14"/>
    </row>
    <row r="29" spans="1:21" x14ac:dyDescent="0.25">
      <c r="A29" s="1" t="s">
        <v>10</v>
      </c>
      <c r="B29" s="1" t="s">
        <v>8</v>
      </c>
      <c r="C29">
        <v>100000</v>
      </c>
      <c r="D29">
        <v>48693</v>
      </c>
      <c r="E29" s="22">
        <f>TIME(,,result[[#This Row],[TimeMs]]/(1000))</f>
        <v>5.5555555555555556E-4</v>
      </c>
      <c r="H29">
        <v>100000</v>
      </c>
      <c r="I29" s="3">
        <f>AVERAGEIFS(result[TimeMs], result[DataStructure],L$2, result[Method], $H$25, result[N],$H29)</f>
        <v>41066.75</v>
      </c>
      <c r="J29" s="3">
        <f>AVERAGEIFS(result[TimeMs], result[DataStructure],M$2, result[Method], $H$25, result[N],$H29)</f>
        <v>43662</v>
      </c>
      <c r="K29" s="3"/>
      <c r="L29" s="3"/>
      <c r="M29" s="3"/>
      <c r="P29" s="7">
        <v>100000</v>
      </c>
      <c r="Q29" s="13">
        <f>IF(I28=0,0,Find[[#This Row],[Stack]]/I28)</f>
        <v>102.47473487211478</v>
      </c>
      <c r="R29" s="13">
        <f>IF(J28=0,0,Find[[#This Row],[Queue]]/J28)</f>
        <v>105.08303249097473</v>
      </c>
      <c r="S29" s="14"/>
      <c r="T29" s="14"/>
      <c r="U29" s="14"/>
    </row>
    <row r="30" spans="1:21" x14ac:dyDescent="0.25">
      <c r="A30" s="1" t="s">
        <v>10</v>
      </c>
      <c r="B30" s="1" t="s">
        <v>5</v>
      </c>
      <c r="C30">
        <v>200000</v>
      </c>
      <c r="D30">
        <v>38</v>
      </c>
      <c r="E30" s="22">
        <f>TIME(,,result[[#This Row],[TimeMs]]/(1000))</f>
        <v>0</v>
      </c>
      <c r="H30">
        <v>200000</v>
      </c>
      <c r="I30" s="3">
        <f>AVERAGEIFS(result[TimeMs], result[DataStructure],L$2, result[Method], $H$25, result[N],$H30)</f>
        <v>171509.75</v>
      </c>
      <c r="J30" s="3">
        <f>AVERAGEIFS(result[TimeMs], result[DataStructure],M$2, result[Method], $H$25, result[N],$H30)</f>
        <v>177745.25</v>
      </c>
      <c r="K30" s="3"/>
      <c r="L30" s="3"/>
      <c r="M30" s="3"/>
      <c r="P30" s="10">
        <v>200000</v>
      </c>
      <c r="Q30" s="13">
        <f>IF(I29=0,0,Find[[#This Row],[Stack]]/I29)</f>
        <v>4.1763653077002685</v>
      </c>
      <c r="R30" s="13">
        <f>IF(J29=0,0,Find[[#This Row],[Queue]]/J29)</f>
        <v>4.0709369703632445</v>
      </c>
      <c r="S30" s="14"/>
      <c r="T30" s="14"/>
      <c r="U30" s="14"/>
    </row>
    <row r="31" spans="1:21" x14ac:dyDescent="0.25">
      <c r="A31" s="1" t="s">
        <v>10</v>
      </c>
      <c r="B31" s="1" t="s">
        <v>6</v>
      </c>
      <c r="C31">
        <v>200000</v>
      </c>
      <c r="D31">
        <v>5</v>
      </c>
      <c r="E31" s="22">
        <f>TIME(,,result[[#This Row],[TimeMs]]/(1000))</f>
        <v>0</v>
      </c>
      <c r="R31" s="3"/>
      <c r="S31" s="3"/>
      <c r="T31" s="3"/>
    </row>
    <row r="32" spans="1:21" x14ac:dyDescent="0.25">
      <c r="A32" s="1" t="s">
        <v>10</v>
      </c>
      <c r="B32" s="1" t="s">
        <v>7</v>
      </c>
      <c r="C32">
        <v>200000</v>
      </c>
      <c r="D32">
        <v>173327</v>
      </c>
      <c r="E32" s="22">
        <f>TIME(,,result[[#This Row],[TimeMs]]/(1000))</f>
        <v>2.0023148148148148E-3</v>
      </c>
      <c r="H32" s="2" t="s">
        <v>22</v>
      </c>
      <c r="I32" t="s">
        <v>14</v>
      </c>
      <c r="J32" t="s">
        <v>14</v>
      </c>
      <c r="K32" t="s">
        <v>14</v>
      </c>
    </row>
    <row r="33" spans="1:11" x14ac:dyDescent="0.25">
      <c r="A33" s="1" t="s">
        <v>10</v>
      </c>
      <c r="B33" s="1" t="s">
        <v>8</v>
      </c>
      <c r="C33">
        <v>200000</v>
      </c>
      <c r="D33">
        <v>215219</v>
      </c>
      <c r="E33" s="22">
        <f>TIME(,,result[[#This Row],[TimeMs]]/(1000))</f>
        <v>2.488425925925926E-3</v>
      </c>
      <c r="H33" t="s">
        <v>2</v>
      </c>
      <c r="I33" t="s">
        <v>23</v>
      </c>
      <c r="J33" t="s">
        <v>24</v>
      </c>
      <c r="K33" t="s">
        <v>25</v>
      </c>
    </row>
    <row r="34" spans="1:11" x14ac:dyDescent="0.25">
      <c r="A34" s="1" t="s">
        <v>10</v>
      </c>
      <c r="B34" s="1" t="s">
        <v>5</v>
      </c>
      <c r="C34">
        <v>1000</v>
      </c>
      <c r="D34">
        <v>0</v>
      </c>
      <c r="E34" s="22">
        <f>TIME(,,result[[#This Row],[TimeMs]]/(1000))</f>
        <v>0</v>
      </c>
      <c r="H34" s="18">
        <v>1000</v>
      </c>
      <c r="I34" s="23">
        <f>AVERAGEIFS(result[TimeMs], result[DataStructure],$H$32, result[Method],I$33, result[N],$H34)</f>
        <v>1</v>
      </c>
      <c r="J34" s="23">
        <f>AVERAGEIFS(result[TimeMs], result[DataStructure],$H$32, result[Method],J$33, result[N],$H34)</f>
        <v>0</v>
      </c>
      <c r="K34" s="23">
        <f>AVERAGEIFS(result[TimeMs], result[DataStructure],$H$32, result[Method],K$33, result[N],$H34)</f>
        <v>0</v>
      </c>
    </row>
    <row r="35" spans="1:11" x14ac:dyDescent="0.25">
      <c r="A35" s="1" t="s">
        <v>10</v>
      </c>
      <c r="B35" s="1" t="s">
        <v>6</v>
      </c>
      <c r="C35">
        <v>1000</v>
      </c>
      <c r="D35">
        <v>0</v>
      </c>
      <c r="E35" s="22">
        <f>TIME(,,result[[#This Row],[TimeMs]]/(1000))</f>
        <v>0</v>
      </c>
      <c r="H35" s="19">
        <v>10000</v>
      </c>
      <c r="I35" s="24">
        <f>AVERAGEIFS(result[TimeMs], result[DataStructure],$H$32, result[Method],I$33, result[N],$H35)</f>
        <v>0.33333333333333331</v>
      </c>
      <c r="J35" s="24">
        <f>AVERAGEIFS(result[TimeMs], result[DataStructure],$H$32, result[Method],J$33, result[N],$H35)</f>
        <v>0</v>
      </c>
      <c r="K35" s="24">
        <f>AVERAGEIFS(result[TimeMs], result[DataStructure],$H$32, result[Method],K$33, result[N],$H35)</f>
        <v>0</v>
      </c>
    </row>
    <row r="36" spans="1:11" x14ac:dyDescent="0.25">
      <c r="A36" s="1" t="s">
        <v>10</v>
      </c>
      <c r="B36" s="1" t="s">
        <v>7</v>
      </c>
      <c r="C36">
        <v>1000</v>
      </c>
      <c r="D36">
        <v>4</v>
      </c>
      <c r="E36" s="22">
        <f>TIME(,,result[[#This Row],[TimeMs]]/(1000))</f>
        <v>0</v>
      </c>
      <c r="H36" s="18">
        <v>100000</v>
      </c>
      <c r="I36" s="23">
        <f>AVERAGEIFS(result[TimeMs], result[DataStructure],$H$32, result[Method],I$33, result[N],$H36)</f>
        <v>18</v>
      </c>
      <c r="J36" s="23">
        <f>AVERAGEIFS(result[TimeMs], result[DataStructure],$H$32, result[Method],J$33, result[N],$H36)</f>
        <v>2.6666666666666665</v>
      </c>
      <c r="K36" s="23">
        <f>AVERAGEIFS(result[TimeMs], result[DataStructure],$H$32, result[Method],K$33, result[N],$H36)</f>
        <v>3</v>
      </c>
    </row>
    <row r="37" spans="1:11" x14ac:dyDescent="0.25">
      <c r="A37" s="1" t="s">
        <v>10</v>
      </c>
      <c r="B37" s="1" t="s">
        <v>8</v>
      </c>
      <c r="C37">
        <v>1000</v>
      </c>
      <c r="D37">
        <v>4</v>
      </c>
      <c r="E37" s="22">
        <f>TIME(,,result[[#This Row],[TimeMs]]/(1000))</f>
        <v>0</v>
      </c>
      <c r="H37" s="19">
        <v>200000</v>
      </c>
      <c r="I37" s="24">
        <f>AVERAGEIFS(result[TimeMs], result[DataStructure],$H$32, result[Method],I$33, result[N],$H37)</f>
        <v>65</v>
      </c>
      <c r="J37" s="24">
        <f>AVERAGEIFS(result[TimeMs], result[DataStructure],$H$32, result[Method],J$33, result[N],$H37)</f>
        <v>9.3333333333333339</v>
      </c>
      <c r="K37" s="24">
        <f>AVERAGEIFS(result[TimeMs], result[DataStructure],$H$32, result[Method],K$33, result[N],$H37)</f>
        <v>14</v>
      </c>
    </row>
    <row r="38" spans="1:11" x14ac:dyDescent="0.25">
      <c r="A38" s="1" t="s">
        <v>10</v>
      </c>
      <c r="B38" s="1" t="s">
        <v>5</v>
      </c>
      <c r="C38">
        <v>10000</v>
      </c>
      <c r="D38">
        <v>0</v>
      </c>
      <c r="E38" s="22">
        <f>TIME(,,result[[#This Row],[TimeMs]]/(1000))</f>
        <v>0</v>
      </c>
      <c r="H38" s="20">
        <v>300000</v>
      </c>
      <c r="I38" s="25">
        <f>AVERAGEIFS(result[TimeMs], result[DataStructure],$H$32, result[Method],I$33, result[N],$H38)</f>
        <v>79.666666666666671</v>
      </c>
      <c r="J38" s="25">
        <f>AVERAGEIFS(result[TimeMs], result[DataStructure],$H$32, result[Method],J$33, result[N],$H38)</f>
        <v>13.666666666666666</v>
      </c>
      <c r="K38" s="25">
        <f>AVERAGEIFS(result[TimeMs], result[DataStructure],$H$32, result[Method],K$33, result[N],$H38)</f>
        <v>11</v>
      </c>
    </row>
    <row r="39" spans="1:11" x14ac:dyDescent="0.25">
      <c r="A39" s="1" t="s">
        <v>10</v>
      </c>
      <c r="B39" s="1" t="s">
        <v>6</v>
      </c>
      <c r="C39">
        <v>10000</v>
      </c>
      <c r="D39">
        <v>0</v>
      </c>
      <c r="E39" s="22">
        <f>TIME(,,result[[#This Row],[TimeMs]]/(1000))</f>
        <v>0</v>
      </c>
      <c r="H39" s="21">
        <v>1000000</v>
      </c>
      <c r="I39" s="26">
        <f>AVERAGEIFS(result[TimeMs], result[DataStructure],$H$32, result[Method],I$33, result[N],$H39)</f>
        <v>221</v>
      </c>
      <c r="J39" s="26">
        <f>AVERAGEIFS(result[TimeMs], result[DataStructure],$H$32, result[Method],J$33, result[N],$H39)</f>
        <v>31</v>
      </c>
      <c r="K39" s="26">
        <f>AVERAGEIFS(result[TimeMs], result[DataStructure],$H$32, result[Method],K$33, result[N],$H39)</f>
        <v>28</v>
      </c>
    </row>
    <row r="40" spans="1:11" x14ac:dyDescent="0.25">
      <c r="A40" s="1" t="s">
        <v>10</v>
      </c>
      <c r="B40" s="1" t="s">
        <v>7</v>
      </c>
      <c r="C40">
        <v>10000</v>
      </c>
      <c r="D40">
        <v>391</v>
      </c>
      <c r="E40" s="22">
        <f>TIME(,,result[[#This Row],[TimeMs]]/(1000))</f>
        <v>0</v>
      </c>
    </row>
    <row r="41" spans="1:11" x14ac:dyDescent="0.25">
      <c r="A41" s="1" t="s">
        <v>10</v>
      </c>
      <c r="B41" s="1" t="s">
        <v>8</v>
      </c>
      <c r="C41">
        <v>10000</v>
      </c>
      <c r="D41">
        <v>430</v>
      </c>
      <c r="E41" s="22">
        <f>TIME(,,result[[#This Row],[TimeMs]]/(1000))</f>
        <v>0</v>
      </c>
    </row>
    <row r="42" spans="1:11" x14ac:dyDescent="0.25">
      <c r="A42" s="1" t="s">
        <v>10</v>
      </c>
      <c r="B42" s="1" t="s">
        <v>5</v>
      </c>
      <c r="C42">
        <v>100000</v>
      </c>
      <c r="D42">
        <v>23</v>
      </c>
      <c r="E42" s="22">
        <f>TIME(,,result[[#This Row],[TimeMs]]/(1000))</f>
        <v>0</v>
      </c>
    </row>
    <row r="43" spans="1:11" x14ac:dyDescent="0.25">
      <c r="A43" s="1" t="s">
        <v>10</v>
      </c>
      <c r="B43" s="1" t="s">
        <v>6</v>
      </c>
      <c r="C43">
        <v>100000</v>
      </c>
      <c r="D43">
        <v>3</v>
      </c>
      <c r="E43" s="22">
        <f>TIME(,,result[[#This Row],[TimeMs]]/(1000))</f>
        <v>0</v>
      </c>
    </row>
    <row r="44" spans="1:11" x14ac:dyDescent="0.25">
      <c r="A44" s="1" t="s">
        <v>10</v>
      </c>
      <c r="B44" s="1" t="s">
        <v>7</v>
      </c>
      <c r="C44">
        <v>100000</v>
      </c>
      <c r="D44">
        <v>40517</v>
      </c>
      <c r="E44" s="22">
        <f>TIME(,,result[[#This Row],[TimeMs]]/(1000))</f>
        <v>4.6296296296296298E-4</v>
      </c>
    </row>
    <row r="45" spans="1:11" x14ac:dyDescent="0.25">
      <c r="A45" s="1" t="s">
        <v>10</v>
      </c>
      <c r="B45" s="1" t="s">
        <v>8</v>
      </c>
      <c r="C45">
        <v>100000</v>
      </c>
      <c r="D45">
        <v>42658</v>
      </c>
      <c r="E45" s="22">
        <f>TIME(,,result[[#This Row],[TimeMs]]/(1000))</f>
        <v>4.861111111111111E-4</v>
      </c>
    </row>
    <row r="46" spans="1:11" x14ac:dyDescent="0.25">
      <c r="A46" s="1" t="s">
        <v>10</v>
      </c>
      <c r="B46" s="1" t="s">
        <v>5</v>
      </c>
      <c r="C46">
        <v>200000</v>
      </c>
      <c r="D46">
        <v>32</v>
      </c>
      <c r="E46" s="22">
        <f>TIME(,,result[[#This Row],[TimeMs]]/(1000))</f>
        <v>0</v>
      </c>
    </row>
    <row r="47" spans="1:11" x14ac:dyDescent="0.25">
      <c r="A47" s="1" t="s">
        <v>10</v>
      </c>
      <c r="B47" s="1" t="s">
        <v>6</v>
      </c>
      <c r="C47">
        <v>200000</v>
      </c>
      <c r="D47">
        <v>5</v>
      </c>
      <c r="E47" s="22">
        <f>TIME(,,result[[#This Row],[TimeMs]]/(1000))</f>
        <v>0</v>
      </c>
    </row>
    <row r="48" spans="1:11" x14ac:dyDescent="0.25">
      <c r="A48" s="1" t="s">
        <v>10</v>
      </c>
      <c r="B48" s="1" t="s">
        <v>7</v>
      </c>
      <c r="C48">
        <v>200000</v>
      </c>
      <c r="D48">
        <v>152756</v>
      </c>
      <c r="E48" s="22">
        <f>TIME(,,result[[#This Row],[TimeMs]]/(1000))</f>
        <v>1.7592592592592592E-3</v>
      </c>
    </row>
    <row r="49" spans="1:5" x14ac:dyDescent="0.25">
      <c r="A49" s="1" t="s">
        <v>10</v>
      </c>
      <c r="B49" s="1" t="s">
        <v>8</v>
      </c>
      <c r="C49">
        <v>200000</v>
      </c>
      <c r="D49">
        <v>192943</v>
      </c>
      <c r="E49" s="22">
        <f>TIME(,,result[[#This Row],[TimeMs]]/(1000))</f>
        <v>2.2222222222222222E-3</v>
      </c>
    </row>
    <row r="50" spans="1:5" x14ac:dyDescent="0.25">
      <c r="A50" s="1" t="s">
        <v>10</v>
      </c>
      <c r="B50" s="1" t="s">
        <v>5</v>
      </c>
      <c r="C50">
        <v>1000</v>
      </c>
      <c r="D50">
        <v>0</v>
      </c>
      <c r="E50" s="22">
        <f>TIME(,,result[[#This Row],[TimeMs]]/(1000))</f>
        <v>0</v>
      </c>
    </row>
    <row r="51" spans="1:5" x14ac:dyDescent="0.25">
      <c r="A51" s="1" t="s">
        <v>10</v>
      </c>
      <c r="B51" s="1" t="s">
        <v>6</v>
      </c>
      <c r="C51">
        <v>1000</v>
      </c>
      <c r="D51">
        <v>0</v>
      </c>
      <c r="E51" s="22">
        <f>TIME(,,result[[#This Row],[TimeMs]]/(1000))</f>
        <v>0</v>
      </c>
    </row>
    <row r="52" spans="1:5" x14ac:dyDescent="0.25">
      <c r="A52" s="1" t="s">
        <v>10</v>
      </c>
      <c r="B52" s="1" t="s">
        <v>7</v>
      </c>
      <c r="C52">
        <v>1000</v>
      </c>
      <c r="D52">
        <v>4</v>
      </c>
      <c r="E52" s="22">
        <f>TIME(,,result[[#This Row],[TimeMs]]/(1000))</f>
        <v>0</v>
      </c>
    </row>
    <row r="53" spans="1:5" x14ac:dyDescent="0.25">
      <c r="A53" s="1" t="s">
        <v>10</v>
      </c>
      <c r="B53" s="1" t="s">
        <v>8</v>
      </c>
      <c r="C53">
        <v>1000</v>
      </c>
      <c r="D53">
        <v>4</v>
      </c>
      <c r="E53" s="22">
        <f>TIME(,,result[[#This Row],[TimeMs]]/(1000))</f>
        <v>0</v>
      </c>
    </row>
    <row r="54" spans="1:5" x14ac:dyDescent="0.25">
      <c r="A54" s="1" t="s">
        <v>10</v>
      </c>
      <c r="B54" s="1" t="s">
        <v>5</v>
      </c>
      <c r="C54">
        <v>10000</v>
      </c>
      <c r="D54">
        <v>0</v>
      </c>
      <c r="E54" s="22">
        <f>TIME(,,result[[#This Row],[TimeMs]]/(1000))</f>
        <v>0</v>
      </c>
    </row>
    <row r="55" spans="1:5" x14ac:dyDescent="0.25">
      <c r="A55" s="1" t="s">
        <v>10</v>
      </c>
      <c r="B55" s="1" t="s">
        <v>6</v>
      </c>
      <c r="C55">
        <v>10000</v>
      </c>
      <c r="D55">
        <v>0</v>
      </c>
      <c r="E55" s="22">
        <f>TIME(,,result[[#This Row],[TimeMs]]/(1000))</f>
        <v>0</v>
      </c>
    </row>
    <row r="56" spans="1:5" x14ac:dyDescent="0.25">
      <c r="A56" s="1" t="s">
        <v>10</v>
      </c>
      <c r="B56" s="1" t="s">
        <v>7</v>
      </c>
      <c r="C56">
        <v>10000</v>
      </c>
      <c r="D56">
        <v>400</v>
      </c>
      <c r="E56" s="22">
        <f>TIME(,,result[[#This Row],[TimeMs]]/(1000))</f>
        <v>0</v>
      </c>
    </row>
    <row r="57" spans="1:5" x14ac:dyDescent="0.25">
      <c r="A57" s="1" t="s">
        <v>10</v>
      </c>
      <c r="B57" s="1" t="s">
        <v>8</v>
      </c>
      <c r="C57">
        <v>10000</v>
      </c>
      <c r="D57">
        <v>423</v>
      </c>
      <c r="E57" s="22">
        <f>TIME(,,result[[#This Row],[TimeMs]]/(1000))</f>
        <v>0</v>
      </c>
    </row>
    <row r="58" spans="1:5" x14ac:dyDescent="0.25">
      <c r="A58" s="1" t="s">
        <v>10</v>
      </c>
      <c r="B58" s="1" t="s">
        <v>5</v>
      </c>
      <c r="C58">
        <v>100000</v>
      </c>
      <c r="D58">
        <v>13</v>
      </c>
      <c r="E58" s="22">
        <f>TIME(,,result[[#This Row],[TimeMs]]/(1000))</f>
        <v>0</v>
      </c>
    </row>
    <row r="59" spans="1:5" x14ac:dyDescent="0.25">
      <c r="A59" s="1" t="s">
        <v>10</v>
      </c>
      <c r="B59" s="1" t="s">
        <v>6</v>
      </c>
      <c r="C59">
        <v>100000</v>
      </c>
      <c r="D59">
        <v>2</v>
      </c>
      <c r="E59" s="22">
        <f>TIME(,,result[[#This Row],[TimeMs]]/(1000))</f>
        <v>0</v>
      </c>
    </row>
    <row r="60" spans="1:5" x14ac:dyDescent="0.25">
      <c r="A60" s="1" t="s">
        <v>10</v>
      </c>
      <c r="B60" s="1" t="s">
        <v>7</v>
      </c>
      <c r="C60">
        <v>100000</v>
      </c>
      <c r="D60">
        <v>42570</v>
      </c>
      <c r="E60" s="22">
        <f>TIME(,,result[[#This Row],[TimeMs]]/(1000))</f>
        <v>4.861111111111111E-4</v>
      </c>
    </row>
    <row r="61" spans="1:5" x14ac:dyDescent="0.25">
      <c r="A61" s="1" t="s">
        <v>10</v>
      </c>
      <c r="B61" s="1" t="s">
        <v>8</v>
      </c>
      <c r="C61">
        <v>100000</v>
      </c>
      <c r="D61">
        <v>46530</v>
      </c>
      <c r="E61" s="22">
        <f>TIME(,,result[[#This Row],[TimeMs]]/(1000))</f>
        <v>5.3240740740740744E-4</v>
      </c>
    </row>
    <row r="62" spans="1:5" x14ac:dyDescent="0.25">
      <c r="A62" s="1" t="s">
        <v>10</v>
      </c>
      <c r="B62" s="1" t="s">
        <v>5</v>
      </c>
      <c r="C62">
        <v>200000</v>
      </c>
      <c r="D62">
        <v>35</v>
      </c>
      <c r="E62" s="22">
        <f>TIME(,,result[[#This Row],[TimeMs]]/(1000))</f>
        <v>0</v>
      </c>
    </row>
    <row r="63" spans="1:5" x14ac:dyDescent="0.25">
      <c r="A63" s="1" t="s">
        <v>10</v>
      </c>
      <c r="B63" s="1" t="s">
        <v>6</v>
      </c>
      <c r="C63">
        <v>200000</v>
      </c>
      <c r="D63">
        <v>6</v>
      </c>
      <c r="E63" s="22">
        <f>TIME(,,result[[#This Row],[TimeMs]]/(1000))</f>
        <v>0</v>
      </c>
    </row>
    <row r="64" spans="1:5" x14ac:dyDescent="0.25">
      <c r="A64" s="1" t="s">
        <v>10</v>
      </c>
      <c r="B64" s="1" t="s">
        <v>7</v>
      </c>
      <c r="C64">
        <v>200000</v>
      </c>
      <c r="D64">
        <v>169278</v>
      </c>
      <c r="E64" s="22">
        <f>TIME(,,result[[#This Row],[TimeMs]]/(1000))</f>
        <v>1.9560185185185184E-3</v>
      </c>
    </row>
    <row r="65" spans="1:5" x14ac:dyDescent="0.25">
      <c r="A65" s="1" t="s">
        <v>10</v>
      </c>
      <c r="B65" s="1" t="s">
        <v>8</v>
      </c>
      <c r="C65">
        <v>200000</v>
      </c>
      <c r="D65">
        <v>208621</v>
      </c>
      <c r="E65" s="22">
        <f>TIME(,,result[[#This Row],[TimeMs]]/(1000))</f>
        <v>2.4074074074074076E-3</v>
      </c>
    </row>
    <row r="66" spans="1:5" x14ac:dyDescent="0.25">
      <c r="A66" s="1" t="s">
        <v>4</v>
      </c>
      <c r="B66" s="1" t="s">
        <v>5</v>
      </c>
      <c r="C66">
        <v>1000</v>
      </c>
      <c r="D66">
        <v>0</v>
      </c>
      <c r="E66" s="22">
        <f>TIME(,,result[[#This Row],[TimeMs]]/(1000))</f>
        <v>0</v>
      </c>
    </row>
    <row r="67" spans="1:5" x14ac:dyDescent="0.25">
      <c r="A67" s="1" t="s">
        <v>4</v>
      </c>
      <c r="B67" s="1" t="s">
        <v>17</v>
      </c>
      <c r="C67">
        <v>1000</v>
      </c>
      <c r="D67">
        <v>5</v>
      </c>
      <c r="E67" s="22">
        <f>TIME(,,result[[#This Row],[TimeMs]]/(1000))</f>
        <v>0</v>
      </c>
    </row>
    <row r="68" spans="1:5" x14ac:dyDescent="0.25">
      <c r="A68" s="1" t="s">
        <v>4</v>
      </c>
      <c r="B68" s="1" t="s">
        <v>18</v>
      </c>
      <c r="C68">
        <v>1000</v>
      </c>
      <c r="D68">
        <v>0</v>
      </c>
      <c r="E68" s="22">
        <f>TIME(,,result[[#This Row],[TimeMs]]/(1000))</f>
        <v>0</v>
      </c>
    </row>
    <row r="69" spans="1:5" x14ac:dyDescent="0.25">
      <c r="A69" s="1" t="s">
        <v>4</v>
      </c>
      <c r="B69" s="1" t="s">
        <v>7</v>
      </c>
      <c r="C69">
        <v>1000</v>
      </c>
      <c r="D69">
        <v>4</v>
      </c>
      <c r="E69" s="22">
        <f>TIME(,,result[[#This Row],[TimeMs]]/(1000))</f>
        <v>0</v>
      </c>
    </row>
    <row r="70" spans="1:5" x14ac:dyDescent="0.25">
      <c r="A70" s="1" t="s">
        <v>4</v>
      </c>
      <c r="B70" s="1" t="s">
        <v>8</v>
      </c>
      <c r="C70">
        <v>1000</v>
      </c>
      <c r="D70">
        <v>4</v>
      </c>
      <c r="E70" s="22">
        <f>TIME(,,result[[#This Row],[TimeMs]]/(1000))</f>
        <v>0</v>
      </c>
    </row>
    <row r="71" spans="1:5" x14ac:dyDescent="0.25">
      <c r="A71" s="1" t="s">
        <v>4</v>
      </c>
      <c r="B71" s="1" t="s">
        <v>5</v>
      </c>
      <c r="C71">
        <v>10000</v>
      </c>
      <c r="D71">
        <v>0</v>
      </c>
      <c r="E71" s="22">
        <f>TIME(,,result[[#This Row],[TimeMs]]/(1000))</f>
        <v>0</v>
      </c>
    </row>
    <row r="72" spans="1:5" x14ac:dyDescent="0.25">
      <c r="A72" s="1" t="s">
        <v>4</v>
      </c>
      <c r="B72" s="1" t="s">
        <v>17</v>
      </c>
      <c r="C72">
        <v>10000</v>
      </c>
      <c r="D72">
        <v>529</v>
      </c>
      <c r="E72" s="22">
        <f>TIME(,,result[[#This Row],[TimeMs]]/(1000))</f>
        <v>0</v>
      </c>
    </row>
    <row r="73" spans="1:5" x14ac:dyDescent="0.25">
      <c r="A73" s="1" t="s">
        <v>4</v>
      </c>
      <c r="B73" s="1" t="s">
        <v>18</v>
      </c>
      <c r="C73">
        <v>10000</v>
      </c>
      <c r="D73">
        <v>0</v>
      </c>
      <c r="E73" s="22">
        <f>TIME(,,result[[#This Row],[TimeMs]]/(1000))</f>
        <v>0</v>
      </c>
    </row>
    <row r="74" spans="1:5" x14ac:dyDescent="0.25">
      <c r="A74" s="1" t="s">
        <v>4</v>
      </c>
      <c r="B74" s="1" t="s">
        <v>7</v>
      </c>
      <c r="C74">
        <v>10000</v>
      </c>
      <c r="D74">
        <v>443</v>
      </c>
      <c r="E74" s="22">
        <f>TIME(,,result[[#This Row],[TimeMs]]/(1000))</f>
        <v>0</v>
      </c>
    </row>
    <row r="75" spans="1:5" x14ac:dyDescent="0.25">
      <c r="A75" s="1" t="s">
        <v>4</v>
      </c>
      <c r="B75" s="1" t="s">
        <v>8</v>
      </c>
      <c r="C75">
        <v>10000</v>
      </c>
      <c r="D75">
        <v>469</v>
      </c>
      <c r="E75" s="22">
        <f>TIME(,,result[[#This Row],[TimeMs]]/(1000))</f>
        <v>0</v>
      </c>
    </row>
    <row r="76" spans="1:5" x14ac:dyDescent="0.25">
      <c r="A76" s="1" t="s">
        <v>4</v>
      </c>
      <c r="B76" s="1" t="s">
        <v>5</v>
      </c>
      <c r="C76">
        <v>100000</v>
      </c>
      <c r="D76">
        <v>20</v>
      </c>
      <c r="E76" s="22">
        <f>TIME(,,result[[#This Row],[TimeMs]]/(1000))</f>
        <v>0</v>
      </c>
    </row>
    <row r="77" spans="1:5" x14ac:dyDescent="0.25">
      <c r="A77" s="1" t="s">
        <v>4</v>
      </c>
      <c r="B77" s="1" t="s">
        <v>17</v>
      </c>
      <c r="C77">
        <v>100000</v>
      </c>
      <c r="D77">
        <v>44330</v>
      </c>
      <c r="E77" s="22">
        <f>TIME(,,result[[#This Row],[TimeMs]]/(1000))</f>
        <v>5.0925925925925921E-4</v>
      </c>
    </row>
    <row r="78" spans="1:5" x14ac:dyDescent="0.25">
      <c r="A78" s="1" t="s">
        <v>4</v>
      </c>
      <c r="B78" s="1" t="s">
        <v>18</v>
      </c>
      <c r="C78">
        <v>100000</v>
      </c>
      <c r="D78">
        <v>0</v>
      </c>
      <c r="E78" s="22">
        <f>TIME(,,result[[#This Row],[TimeMs]]/(1000))</f>
        <v>0</v>
      </c>
    </row>
    <row r="79" spans="1:5" x14ac:dyDescent="0.25">
      <c r="A79" s="1" t="s">
        <v>4</v>
      </c>
      <c r="B79" s="1" t="s">
        <v>7</v>
      </c>
      <c r="C79">
        <v>100000</v>
      </c>
      <c r="D79">
        <v>43724</v>
      </c>
      <c r="E79" s="22">
        <f>TIME(,,result[[#This Row],[TimeMs]]/(1000))</f>
        <v>4.9768518518518521E-4</v>
      </c>
    </row>
    <row r="80" spans="1:5" x14ac:dyDescent="0.25">
      <c r="A80" s="1" t="s">
        <v>4</v>
      </c>
      <c r="B80" s="1" t="s">
        <v>8</v>
      </c>
      <c r="C80">
        <v>100000</v>
      </c>
      <c r="D80">
        <v>50058</v>
      </c>
      <c r="E80" s="22">
        <f>TIME(,,result[[#This Row],[TimeMs]]/(1000))</f>
        <v>5.7870370370370367E-4</v>
      </c>
    </row>
    <row r="81" spans="1:5" x14ac:dyDescent="0.25">
      <c r="A81" s="1" t="s">
        <v>4</v>
      </c>
      <c r="B81" s="1" t="s">
        <v>5</v>
      </c>
      <c r="C81">
        <v>200000</v>
      </c>
      <c r="D81">
        <v>27</v>
      </c>
      <c r="E81" s="22">
        <f>TIME(,,result[[#This Row],[TimeMs]]/(1000))</f>
        <v>0</v>
      </c>
    </row>
    <row r="82" spans="1:5" x14ac:dyDescent="0.25">
      <c r="A82" s="1" t="s">
        <v>4</v>
      </c>
      <c r="B82" s="1" t="s">
        <v>17</v>
      </c>
      <c r="C82">
        <v>200000</v>
      </c>
      <c r="D82">
        <v>171733</v>
      </c>
      <c r="E82" s="22">
        <f>TIME(,,result[[#This Row],[TimeMs]]/(1000))</f>
        <v>1.9791666666666668E-3</v>
      </c>
    </row>
    <row r="83" spans="1:5" x14ac:dyDescent="0.25">
      <c r="A83" s="1" t="s">
        <v>4</v>
      </c>
      <c r="B83" s="1" t="s">
        <v>18</v>
      </c>
      <c r="C83">
        <v>200000</v>
      </c>
      <c r="D83">
        <v>1</v>
      </c>
      <c r="E83" s="22">
        <f>TIME(,,result[[#This Row],[TimeMs]]/(1000))</f>
        <v>0</v>
      </c>
    </row>
    <row r="84" spans="1:5" x14ac:dyDescent="0.25">
      <c r="A84" s="1" t="s">
        <v>4</v>
      </c>
      <c r="B84" s="1" t="s">
        <v>7</v>
      </c>
      <c r="C84">
        <v>200000</v>
      </c>
      <c r="D84">
        <v>187306</v>
      </c>
      <c r="E84" s="22">
        <f>TIME(,,result[[#This Row],[TimeMs]]/(1000))</f>
        <v>2.1643518518518518E-3</v>
      </c>
    </row>
    <row r="85" spans="1:5" x14ac:dyDescent="0.25">
      <c r="A85" s="1" t="s">
        <v>4</v>
      </c>
      <c r="B85" s="1" t="s">
        <v>8</v>
      </c>
      <c r="C85">
        <v>200000</v>
      </c>
      <c r="D85">
        <v>237046</v>
      </c>
      <c r="E85" s="22">
        <f>TIME(,,result[[#This Row],[TimeMs]]/(1000))</f>
        <v>2.7430555555555554E-3</v>
      </c>
    </row>
    <row r="86" spans="1:5" x14ac:dyDescent="0.25">
      <c r="A86" s="1" t="s">
        <v>4</v>
      </c>
      <c r="B86" s="1" t="s">
        <v>5</v>
      </c>
      <c r="C86">
        <v>1000</v>
      </c>
      <c r="D86">
        <v>0</v>
      </c>
      <c r="E86" s="22">
        <f>TIME(,,result[[#This Row],[TimeMs]]/(1000))</f>
        <v>0</v>
      </c>
    </row>
    <row r="87" spans="1:5" x14ac:dyDescent="0.25">
      <c r="A87" s="1" t="s">
        <v>4</v>
      </c>
      <c r="B87" s="1" t="s">
        <v>17</v>
      </c>
      <c r="C87">
        <v>1000</v>
      </c>
      <c r="D87">
        <v>6</v>
      </c>
      <c r="E87" s="22">
        <f>TIME(,,result[[#This Row],[TimeMs]]/(1000))</f>
        <v>0</v>
      </c>
    </row>
    <row r="88" spans="1:5" x14ac:dyDescent="0.25">
      <c r="A88" s="1" t="s">
        <v>4</v>
      </c>
      <c r="B88" s="1" t="s">
        <v>18</v>
      </c>
      <c r="C88">
        <v>1000</v>
      </c>
      <c r="D88">
        <v>0</v>
      </c>
      <c r="E88" s="22">
        <f>TIME(,,result[[#This Row],[TimeMs]]/(1000))</f>
        <v>0</v>
      </c>
    </row>
    <row r="89" spans="1:5" x14ac:dyDescent="0.25">
      <c r="A89" s="1" t="s">
        <v>4</v>
      </c>
      <c r="B89" s="1" t="s">
        <v>7</v>
      </c>
      <c r="C89">
        <v>1000</v>
      </c>
      <c r="D89">
        <v>4</v>
      </c>
      <c r="E89" s="22">
        <f>TIME(,,result[[#This Row],[TimeMs]]/(1000))</f>
        <v>0</v>
      </c>
    </row>
    <row r="90" spans="1:5" x14ac:dyDescent="0.25">
      <c r="A90" s="1" t="s">
        <v>4</v>
      </c>
      <c r="B90" s="1" t="s">
        <v>8</v>
      </c>
      <c r="C90">
        <v>1000</v>
      </c>
      <c r="D90">
        <v>4</v>
      </c>
      <c r="E90" s="22">
        <f>TIME(,,result[[#This Row],[TimeMs]]/(1000))</f>
        <v>0</v>
      </c>
    </row>
    <row r="91" spans="1:5" x14ac:dyDescent="0.25">
      <c r="A91" s="1" t="s">
        <v>4</v>
      </c>
      <c r="B91" s="1" t="s">
        <v>5</v>
      </c>
      <c r="C91">
        <v>10000</v>
      </c>
      <c r="D91">
        <v>0</v>
      </c>
      <c r="E91" s="22">
        <f>TIME(,,result[[#This Row],[TimeMs]]/(1000))</f>
        <v>0</v>
      </c>
    </row>
    <row r="92" spans="1:5" x14ac:dyDescent="0.25">
      <c r="A92" s="1" t="s">
        <v>4</v>
      </c>
      <c r="B92" s="1" t="s">
        <v>17</v>
      </c>
      <c r="C92">
        <v>10000</v>
      </c>
      <c r="D92">
        <v>456</v>
      </c>
      <c r="E92" s="22">
        <f>TIME(,,result[[#This Row],[TimeMs]]/(1000))</f>
        <v>0</v>
      </c>
    </row>
    <row r="93" spans="1:5" x14ac:dyDescent="0.25">
      <c r="A93" s="1" t="s">
        <v>4</v>
      </c>
      <c r="B93" s="1" t="s">
        <v>18</v>
      </c>
      <c r="C93">
        <v>10000</v>
      </c>
      <c r="D93">
        <v>0</v>
      </c>
      <c r="E93" s="22">
        <f>TIME(,,result[[#This Row],[TimeMs]]/(1000))</f>
        <v>0</v>
      </c>
    </row>
    <row r="94" spans="1:5" x14ac:dyDescent="0.25">
      <c r="A94" s="1" t="s">
        <v>4</v>
      </c>
      <c r="B94" s="1" t="s">
        <v>7</v>
      </c>
      <c r="C94">
        <v>10000</v>
      </c>
      <c r="D94">
        <v>413</v>
      </c>
      <c r="E94" s="22">
        <f>TIME(,,result[[#This Row],[TimeMs]]/(1000))</f>
        <v>0</v>
      </c>
    </row>
    <row r="95" spans="1:5" x14ac:dyDescent="0.25">
      <c r="A95" s="1" t="s">
        <v>4</v>
      </c>
      <c r="B95" s="1" t="s">
        <v>8</v>
      </c>
      <c r="C95">
        <v>10000</v>
      </c>
      <c r="D95">
        <v>491</v>
      </c>
      <c r="E95" s="22">
        <f>TIME(,,result[[#This Row],[TimeMs]]/(1000))</f>
        <v>0</v>
      </c>
    </row>
    <row r="96" spans="1:5" x14ac:dyDescent="0.25">
      <c r="A96" s="1" t="s">
        <v>4</v>
      </c>
      <c r="B96" s="1" t="s">
        <v>5</v>
      </c>
      <c r="C96">
        <v>100000</v>
      </c>
      <c r="D96">
        <v>15</v>
      </c>
      <c r="E96" s="22">
        <f>TIME(,,result[[#This Row],[TimeMs]]/(1000))</f>
        <v>0</v>
      </c>
    </row>
    <row r="97" spans="1:5" x14ac:dyDescent="0.25">
      <c r="A97" s="1" t="s">
        <v>4</v>
      </c>
      <c r="B97" s="1" t="s">
        <v>17</v>
      </c>
      <c r="C97">
        <v>100000</v>
      </c>
      <c r="D97">
        <v>39659</v>
      </c>
      <c r="E97" s="22">
        <f>TIME(,,result[[#This Row],[TimeMs]]/(1000))</f>
        <v>4.5138888888888887E-4</v>
      </c>
    </row>
    <row r="98" spans="1:5" x14ac:dyDescent="0.25">
      <c r="A98" s="1" t="s">
        <v>4</v>
      </c>
      <c r="B98" s="1" t="s">
        <v>18</v>
      </c>
      <c r="C98">
        <v>100000</v>
      </c>
      <c r="D98">
        <v>0</v>
      </c>
      <c r="E98" s="22">
        <f>TIME(,,result[[#This Row],[TimeMs]]/(1000))</f>
        <v>0</v>
      </c>
    </row>
    <row r="99" spans="1:5" x14ac:dyDescent="0.25">
      <c r="A99" s="1" t="s">
        <v>4</v>
      </c>
      <c r="B99" s="1" t="s">
        <v>7</v>
      </c>
      <c r="C99">
        <v>100000</v>
      </c>
      <c r="D99">
        <v>39937</v>
      </c>
      <c r="E99" s="22">
        <f>TIME(,,result[[#This Row],[TimeMs]]/(1000))</f>
        <v>4.5138888888888887E-4</v>
      </c>
    </row>
    <row r="100" spans="1:5" x14ac:dyDescent="0.25">
      <c r="A100" s="1" t="s">
        <v>4</v>
      </c>
      <c r="B100" s="1" t="s">
        <v>8</v>
      </c>
      <c r="C100">
        <v>100000</v>
      </c>
      <c r="D100">
        <v>44981</v>
      </c>
      <c r="E100" s="22">
        <f>TIME(,,result[[#This Row],[TimeMs]]/(1000))</f>
        <v>5.0925925925925921E-4</v>
      </c>
    </row>
    <row r="101" spans="1:5" x14ac:dyDescent="0.25">
      <c r="A101" s="1" t="s">
        <v>4</v>
      </c>
      <c r="B101" s="1" t="s">
        <v>5</v>
      </c>
      <c r="C101">
        <v>200000</v>
      </c>
      <c r="D101">
        <v>16</v>
      </c>
      <c r="E101" s="22">
        <f>TIME(,,result[[#This Row],[TimeMs]]/(1000))</f>
        <v>0</v>
      </c>
    </row>
    <row r="102" spans="1:5" x14ac:dyDescent="0.25">
      <c r="A102" s="1" t="s">
        <v>4</v>
      </c>
      <c r="B102" s="1" t="s">
        <v>17</v>
      </c>
      <c r="C102">
        <v>200000</v>
      </c>
      <c r="D102">
        <v>165837</v>
      </c>
      <c r="E102" s="22">
        <f>TIME(,,result[[#This Row],[TimeMs]]/(1000))</f>
        <v>1.9097222222222222E-3</v>
      </c>
    </row>
    <row r="103" spans="1:5" x14ac:dyDescent="0.25">
      <c r="A103" s="1" t="s">
        <v>4</v>
      </c>
      <c r="B103" s="1" t="s">
        <v>18</v>
      </c>
      <c r="C103">
        <v>200000</v>
      </c>
      <c r="D103">
        <v>0</v>
      </c>
      <c r="E103" s="22">
        <f>TIME(,,result[[#This Row],[TimeMs]]/(1000))</f>
        <v>0</v>
      </c>
    </row>
    <row r="104" spans="1:5" x14ac:dyDescent="0.25">
      <c r="A104" s="1" t="s">
        <v>4</v>
      </c>
      <c r="B104" s="1" t="s">
        <v>7</v>
      </c>
      <c r="C104">
        <v>200000</v>
      </c>
      <c r="D104">
        <v>168013</v>
      </c>
      <c r="E104" s="22">
        <f>TIME(,,result[[#This Row],[TimeMs]]/(1000))</f>
        <v>1.9444444444444444E-3</v>
      </c>
    </row>
    <row r="105" spans="1:5" x14ac:dyDescent="0.25">
      <c r="A105" s="1" t="s">
        <v>4</v>
      </c>
      <c r="B105" s="1" t="s">
        <v>8</v>
      </c>
      <c r="C105">
        <v>200000</v>
      </c>
      <c r="D105">
        <v>197863</v>
      </c>
      <c r="E105" s="22">
        <f>TIME(,,result[[#This Row],[TimeMs]]/(1000))</f>
        <v>2.2800925925925927E-3</v>
      </c>
    </row>
    <row r="106" spans="1:5" x14ac:dyDescent="0.25">
      <c r="A106" s="1" t="s">
        <v>4</v>
      </c>
      <c r="B106" s="1" t="s">
        <v>5</v>
      </c>
      <c r="C106">
        <v>1000</v>
      </c>
      <c r="D106">
        <v>0</v>
      </c>
      <c r="E106" s="22">
        <f>TIME(,,result[[#This Row],[TimeMs]]/(1000))</f>
        <v>0</v>
      </c>
    </row>
    <row r="107" spans="1:5" x14ac:dyDescent="0.25">
      <c r="A107" s="1" t="s">
        <v>4</v>
      </c>
      <c r="B107" s="1" t="s">
        <v>17</v>
      </c>
      <c r="C107">
        <v>1000</v>
      </c>
      <c r="D107">
        <v>4</v>
      </c>
      <c r="E107" s="22">
        <f>TIME(,,result[[#This Row],[TimeMs]]/(1000))</f>
        <v>0</v>
      </c>
    </row>
    <row r="108" spans="1:5" x14ac:dyDescent="0.25">
      <c r="A108" s="1" t="s">
        <v>4</v>
      </c>
      <c r="B108" s="1" t="s">
        <v>18</v>
      </c>
      <c r="C108">
        <v>1000</v>
      </c>
      <c r="D108">
        <v>0</v>
      </c>
      <c r="E108" s="22">
        <f>TIME(,,result[[#This Row],[TimeMs]]/(1000))</f>
        <v>0</v>
      </c>
    </row>
    <row r="109" spans="1:5" x14ac:dyDescent="0.25">
      <c r="A109" s="1" t="s">
        <v>4</v>
      </c>
      <c r="B109" s="1" t="s">
        <v>7</v>
      </c>
      <c r="C109">
        <v>1000</v>
      </c>
      <c r="D109">
        <v>4</v>
      </c>
      <c r="E109" s="22">
        <f>TIME(,,result[[#This Row],[TimeMs]]/(1000))</f>
        <v>0</v>
      </c>
    </row>
    <row r="110" spans="1:5" x14ac:dyDescent="0.25">
      <c r="A110" s="1" t="s">
        <v>4</v>
      </c>
      <c r="B110" s="1" t="s">
        <v>8</v>
      </c>
      <c r="C110">
        <v>1000</v>
      </c>
      <c r="D110">
        <v>4</v>
      </c>
      <c r="E110" s="22">
        <f>TIME(,,result[[#This Row],[TimeMs]]/(1000))</f>
        <v>0</v>
      </c>
    </row>
    <row r="111" spans="1:5" x14ac:dyDescent="0.25">
      <c r="A111" s="1" t="s">
        <v>4</v>
      </c>
      <c r="B111" s="1" t="s">
        <v>5</v>
      </c>
      <c r="C111">
        <v>10000</v>
      </c>
      <c r="D111">
        <v>0</v>
      </c>
      <c r="E111" s="22">
        <f>TIME(,,result[[#This Row],[TimeMs]]/(1000))</f>
        <v>0</v>
      </c>
    </row>
    <row r="112" spans="1:5" x14ac:dyDescent="0.25">
      <c r="A112" s="1" t="s">
        <v>4</v>
      </c>
      <c r="B112" s="1" t="s">
        <v>17</v>
      </c>
      <c r="C112">
        <v>10000</v>
      </c>
      <c r="D112">
        <v>441</v>
      </c>
      <c r="E112" s="22">
        <f>TIME(,,result[[#This Row],[TimeMs]]/(1000))</f>
        <v>0</v>
      </c>
    </row>
    <row r="113" spans="1:5" x14ac:dyDescent="0.25">
      <c r="A113" s="1" t="s">
        <v>4</v>
      </c>
      <c r="B113" s="1" t="s">
        <v>18</v>
      </c>
      <c r="C113">
        <v>10000</v>
      </c>
      <c r="D113">
        <v>0</v>
      </c>
      <c r="E113" s="22">
        <f>TIME(,,result[[#This Row],[TimeMs]]/(1000))</f>
        <v>0</v>
      </c>
    </row>
    <row r="114" spans="1:5" x14ac:dyDescent="0.25">
      <c r="A114" s="1" t="s">
        <v>4</v>
      </c>
      <c r="B114" s="1" t="s">
        <v>7</v>
      </c>
      <c r="C114">
        <v>10000</v>
      </c>
      <c r="D114">
        <v>400</v>
      </c>
      <c r="E114" s="22">
        <f>TIME(,,result[[#This Row],[TimeMs]]/(1000))</f>
        <v>0</v>
      </c>
    </row>
    <row r="115" spans="1:5" x14ac:dyDescent="0.25">
      <c r="A115" s="1" t="s">
        <v>4</v>
      </c>
      <c r="B115" s="1" t="s">
        <v>8</v>
      </c>
      <c r="C115">
        <v>10000</v>
      </c>
      <c r="D115">
        <v>578</v>
      </c>
      <c r="E115" s="22">
        <f>TIME(,,result[[#This Row],[TimeMs]]/(1000))</f>
        <v>0</v>
      </c>
    </row>
    <row r="116" spans="1:5" x14ac:dyDescent="0.25">
      <c r="A116" s="1" t="s">
        <v>4</v>
      </c>
      <c r="B116" s="1" t="s">
        <v>5</v>
      </c>
      <c r="C116">
        <v>100000</v>
      </c>
      <c r="D116">
        <v>9</v>
      </c>
      <c r="E116" s="22">
        <f>TIME(,,result[[#This Row],[TimeMs]]/(1000))</f>
        <v>0</v>
      </c>
    </row>
    <row r="117" spans="1:5" x14ac:dyDescent="0.25">
      <c r="A117" s="1" t="s">
        <v>4</v>
      </c>
      <c r="B117" s="1" t="s">
        <v>17</v>
      </c>
      <c r="C117">
        <v>100000</v>
      </c>
      <c r="D117">
        <v>41449</v>
      </c>
      <c r="E117" s="22">
        <f>TIME(,,result[[#This Row],[TimeMs]]/(1000))</f>
        <v>4.7453703703703704E-4</v>
      </c>
    </row>
    <row r="118" spans="1:5" x14ac:dyDescent="0.25">
      <c r="A118" s="1" t="s">
        <v>4</v>
      </c>
      <c r="B118" s="1" t="s">
        <v>18</v>
      </c>
      <c r="C118">
        <v>100000</v>
      </c>
      <c r="D118">
        <v>0</v>
      </c>
      <c r="E118" s="22">
        <f>TIME(,,result[[#This Row],[TimeMs]]/(1000))</f>
        <v>0</v>
      </c>
    </row>
    <row r="119" spans="1:5" x14ac:dyDescent="0.25">
      <c r="A119" s="1" t="s">
        <v>4</v>
      </c>
      <c r="B119" s="1" t="s">
        <v>7</v>
      </c>
      <c r="C119">
        <v>100000</v>
      </c>
      <c r="D119">
        <v>39965</v>
      </c>
      <c r="E119" s="22">
        <f>TIME(,,result[[#This Row],[TimeMs]]/(1000))</f>
        <v>4.5138888888888887E-4</v>
      </c>
    </row>
    <row r="120" spans="1:5" x14ac:dyDescent="0.25">
      <c r="A120" s="1" t="s">
        <v>4</v>
      </c>
      <c r="B120" s="1" t="s">
        <v>8</v>
      </c>
      <c r="C120">
        <v>100000</v>
      </c>
      <c r="D120">
        <v>44567</v>
      </c>
      <c r="E120" s="22">
        <f>TIME(,,result[[#This Row],[TimeMs]]/(1000))</f>
        <v>5.0925925925925921E-4</v>
      </c>
    </row>
    <row r="121" spans="1:5" x14ac:dyDescent="0.25">
      <c r="A121" s="1" t="s">
        <v>4</v>
      </c>
      <c r="B121" s="1" t="s">
        <v>5</v>
      </c>
      <c r="C121">
        <v>200000</v>
      </c>
      <c r="D121">
        <v>17</v>
      </c>
      <c r="E121" s="22">
        <f>TIME(,,result[[#This Row],[TimeMs]]/(1000))</f>
        <v>0</v>
      </c>
    </row>
    <row r="122" spans="1:5" x14ac:dyDescent="0.25">
      <c r="A122" s="1" t="s">
        <v>4</v>
      </c>
      <c r="B122" s="1" t="s">
        <v>17</v>
      </c>
      <c r="C122">
        <v>200000</v>
      </c>
      <c r="D122">
        <v>157237</v>
      </c>
      <c r="E122" s="22">
        <f>TIME(,,result[[#This Row],[TimeMs]]/(1000))</f>
        <v>1.8171296296296297E-3</v>
      </c>
    </row>
    <row r="123" spans="1:5" x14ac:dyDescent="0.25">
      <c r="A123" s="1" t="s">
        <v>4</v>
      </c>
      <c r="B123" s="1" t="s">
        <v>18</v>
      </c>
      <c r="C123">
        <v>200000</v>
      </c>
      <c r="D123">
        <v>0</v>
      </c>
      <c r="E123" s="22">
        <f>TIME(,,result[[#This Row],[TimeMs]]/(1000))</f>
        <v>0</v>
      </c>
    </row>
    <row r="124" spans="1:5" x14ac:dyDescent="0.25">
      <c r="A124" s="1" t="s">
        <v>4</v>
      </c>
      <c r="B124" s="1" t="s">
        <v>7</v>
      </c>
      <c r="C124">
        <v>200000</v>
      </c>
      <c r="D124">
        <v>164098</v>
      </c>
      <c r="E124" s="22">
        <f>TIME(,,result[[#This Row],[TimeMs]]/(1000))</f>
        <v>1.8981481481481482E-3</v>
      </c>
    </row>
    <row r="125" spans="1:5" x14ac:dyDescent="0.25">
      <c r="A125" s="1" t="s">
        <v>4</v>
      </c>
      <c r="B125" s="1" t="s">
        <v>8</v>
      </c>
      <c r="C125">
        <v>200000</v>
      </c>
      <c r="D125">
        <v>196254</v>
      </c>
      <c r="E125" s="22">
        <f>TIME(,,result[[#This Row],[TimeMs]]/(1000))</f>
        <v>2.2685185185185187E-3</v>
      </c>
    </row>
    <row r="126" spans="1:5" x14ac:dyDescent="0.25">
      <c r="A126" s="1" t="s">
        <v>4</v>
      </c>
      <c r="B126" s="1" t="s">
        <v>5</v>
      </c>
      <c r="C126">
        <v>1000</v>
      </c>
      <c r="D126">
        <v>0</v>
      </c>
      <c r="E126" s="22">
        <f>TIME(,,result[[#This Row],[TimeMs]]/(1000))</f>
        <v>0</v>
      </c>
    </row>
    <row r="127" spans="1:5" x14ac:dyDescent="0.25">
      <c r="A127" s="1" t="s">
        <v>4</v>
      </c>
      <c r="B127" s="1" t="s">
        <v>17</v>
      </c>
      <c r="C127">
        <v>1000</v>
      </c>
      <c r="D127">
        <v>4</v>
      </c>
      <c r="E127" s="22">
        <f>TIME(,,result[[#This Row],[TimeMs]]/(1000))</f>
        <v>0</v>
      </c>
    </row>
    <row r="128" spans="1:5" x14ac:dyDescent="0.25">
      <c r="A128" s="1" t="s">
        <v>4</v>
      </c>
      <c r="B128" s="1" t="s">
        <v>18</v>
      </c>
      <c r="C128">
        <v>1000</v>
      </c>
      <c r="D128">
        <v>0</v>
      </c>
      <c r="E128" s="22">
        <f>TIME(,,result[[#This Row],[TimeMs]]/(1000))</f>
        <v>0</v>
      </c>
    </row>
    <row r="129" spans="1:5" x14ac:dyDescent="0.25">
      <c r="A129" s="1" t="s">
        <v>4</v>
      </c>
      <c r="B129" s="1" t="s">
        <v>7</v>
      </c>
      <c r="C129">
        <v>1000</v>
      </c>
      <c r="D129">
        <v>4</v>
      </c>
      <c r="E129" s="22">
        <f>TIME(,,result[[#This Row],[TimeMs]]/(1000))</f>
        <v>0</v>
      </c>
    </row>
    <row r="130" spans="1:5" x14ac:dyDescent="0.25">
      <c r="A130" s="1" t="s">
        <v>4</v>
      </c>
      <c r="B130" s="1" t="s">
        <v>8</v>
      </c>
      <c r="C130">
        <v>1000</v>
      </c>
      <c r="D130">
        <v>5</v>
      </c>
      <c r="E130" s="22">
        <f>TIME(,,result[[#This Row],[TimeMs]]/(1000))</f>
        <v>0</v>
      </c>
    </row>
    <row r="131" spans="1:5" x14ac:dyDescent="0.25">
      <c r="A131" s="1" t="s">
        <v>4</v>
      </c>
      <c r="B131" s="1" t="s">
        <v>5</v>
      </c>
      <c r="C131">
        <v>10000</v>
      </c>
      <c r="D131">
        <v>0</v>
      </c>
      <c r="E131" s="22">
        <f>TIME(,,result[[#This Row],[TimeMs]]/(1000))</f>
        <v>0</v>
      </c>
    </row>
    <row r="132" spans="1:5" x14ac:dyDescent="0.25">
      <c r="A132" s="1" t="s">
        <v>4</v>
      </c>
      <c r="B132" s="1" t="s">
        <v>17</v>
      </c>
      <c r="C132">
        <v>10000</v>
      </c>
      <c r="D132">
        <v>556</v>
      </c>
      <c r="E132" s="22">
        <f>TIME(,,result[[#This Row],[TimeMs]]/(1000))</f>
        <v>0</v>
      </c>
    </row>
    <row r="133" spans="1:5" x14ac:dyDescent="0.25">
      <c r="A133" s="1" t="s">
        <v>4</v>
      </c>
      <c r="B133" s="1" t="s">
        <v>18</v>
      </c>
      <c r="C133">
        <v>10000</v>
      </c>
      <c r="D133">
        <v>0</v>
      </c>
      <c r="E133" s="22">
        <f>TIME(,,result[[#This Row],[TimeMs]]/(1000))</f>
        <v>0</v>
      </c>
    </row>
    <row r="134" spans="1:5" x14ac:dyDescent="0.25">
      <c r="A134" s="1" t="s">
        <v>4</v>
      </c>
      <c r="B134" s="1" t="s">
        <v>7</v>
      </c>
      <c r="C134">
        <v>10000</v>
      </c>
      <c r="D134">
        <v>427</v>
      </c>
      <c r="E134" s="22">
        <f>TIME(,,result[[#This Row],[TimeMs]]/(1000))</f>
        <v>0</v>
      </c>
    </row>
    <row r="135" spans="1:5" x14ac:dyDescent="0.25">
      <c r="A135" s="1" t="s">
        <v>4</v>
      </c>
      <c r="B135" s="1" t="s">
        <v>8</v>
      </c>
      <c r="C135">
        <v>10000</v>
      </c>
      <c r="D135">
        <v>495</v>
      </c>
      <c r="E135" s="22">
        <f>TIME(,,result[[#This Row],[TimeMs]]/(1000))</f>
        <v>0</v>
      </c>
    </row>
    <row r="136" spans="1:5" x14ac:dyDescent="0.25">
      <c r="A136" s="1" t="s">
        <v>4</v>
      </c>
      <c r="B136" s="1" t="s">
        <v>5</v>
      </c>
      <c r="C136">
        <v>100000</v>
      </c>
      <c r="D136">
        <v>13</v>
      </c>
      <c r="E136" s="22">
        <f>TIME(,,result[[#This Row],[TimeMs]]/(1000))</f>
        <v>0</v>
      </c>
    </row>
    <row r="137" spans="1:5" x14ac:dyDescent="0.25">
      <c r="A137" s="1" t="s">
        <v>4</v>
      </c>
      <c r="B137" s="1" t="s">
        <v>17</v>
      </c>
      <c r="C137">
        <v>100000</v>
      </c>
      <c r="D137">
        <v>42554</v>
      </c>
      <c r="E137" s="22">
        <f>TIME(,,result[[#This Row],[TimeMs]]/(1000))</f>
        <v>4.861111111111111E-4</v>
      </c>
    </row>
    <row r="138" spans="1:5" x14ac:dyDescent="0.25">
      <c r="A138" s="1" t="s">
        <v>4</v>
      </c>
      <c r="B138" s="1" t="s">
        <v>18</v>
      </c>
      <c r="C138">
        <v>100000</v>
      </c>
      <c r="D138">
        <v>0</v>
      </c>
      <c r="E138" s="22">
        <f>TIME(,,result[[#This Row],[TimeMs]]/(1000))</f>
        <v>0</v>
      </c>
    </row>
    <row r="139" spans="1:5" x14ac:dyDescent="0.25">
      <c r="A139" s="1" t="s">
        <v>4</v>
      </c>
      <c r="B139" s="1" t="s">
        <v>7</v>
      </c>
      <c r="C139">
        <v>100000</v>
      </c>
      <c r="D139">
        <v>42016</v>
      </c>
      <c r="E139" s="22">
        <f>TIME(,,result[[#This Row],[TimeMs]]/(1000))</f>
        <v>4.861111111111111E-4</v>
      </c>
    </row>
    <row r="140" spans="1:5" x14ac:dyDescent="0.25">
      <c r="A140" s="1" t="s">
        <v>4</v>
      </c>
      <c r="B140" s="1" t="s">
        <v>8</v>
      </c>
      <c r="C140">
        <v>100000</v>
      </c>
      <c r="D140">
        <v>46120</v>
      </c>
      <c r="E140" s="22">
        <f>TIME(,,result[[#This Row],[TimeMs]]/(1000))</f>
        <v>5.3240740740740744E-4</v>
      </c>
    </row>
    <row r="141" spans="1:5" x14ac:dyDescent="0.25">
      <c r="A141" s="1" t="s">
        <v>4</v>
      </c>
      <c r="B141" s="1" t="s">
        <v>5</v>
      </c>
      <c r="C141">
        <v>200000</v>
      </c>
      <c r="D141">
        <v>17</v>
      </c>
      <c r="E141" s="22">
        <f>TIME(,,result[[#This Row],[TimeMs]]/(1000))</f>
        <v>0</v>
      </c>
    </row>
    <row r="142" spans="1:5" x14ac:dyDescent="0.25">
      <c r="A142" s="1" t="s">
        <v>4</v>
      </c>
      <c r="B142" s="1" t="s">
        <v>17</v>
      </c>
      <c r="C142">
        <v>200000</v>
      </c>
      <c r="D142">
        <v>166373</v>
      </c>
      <c r="E142" s="22">
        <f>TIME(,,result[[#This Row],[TimeMs]]/(1000))</f>
        <v>1.9212962962962964E-3</v>
      </c>
    </row>
    <row r="143" spans="1:5" x14ac:dyDescent="0.25">
      <c r="A143" s="1" t="s">
        <v>4</v>
      </c>
      <c r="B143" s="1" t="s">
        <v>18</v>
      </c>
      <c r="C143">
        <v>200000</v>
      </c>
      <c r="D143">
        <v>1</v>
      </c>
      <c r="E143" s="22">
        <f>TIME(,,result[[#This Row],[TimeMs]]/(1000))</f>
        <v>0</v>
      </c>
    </row>
    <row r="144" spans="1:5" x14ac:dyDescent="0.25">
      <c r="A144" s="1" t="s">
        <v>4</v>
      </c>
      <c r="B144" s="1" t="s">
        <v>7</v>
      </c>
      <c r="C144">
        <v>200000</v>
      </c>
      <c r="D144">
        <v>164967</v>
      </c>
      <c r="E144" s="22">
        <f>TIME(,,result[[#This Row],[TimeMs]]/(1000))</f>
        <v>1.8981481481481482E-3</v>
      </c>
    </row>
    <row r="145" spans="1:5" x14ac:dyDescent="0.25">
      <c r="A145" s="1" t="s">
        <v>4</v>
      </c>
      <c r="B145" s="1" t="s">
        <v>8</v>
      </c>
      <c r="C145">
        <v>200000</v>
      </c>
      <c r="D145">
        <v>206452</v>
      </c>
      <c r="E145" s="22">
        <f>TIME(,,result[[#This Row],[TimeMs]]/(1000))</f>
        <v>2.3842592592592591E-3</v>
      </c>
    </row>
    <row r="146" spans="1:5" x14ac:dyDescent="0.25">
      <c r="A146" s="1" t="s">
        <v>12</v>
      </c>
      <c r="B146" s="1" t="s">
        <v>5</v>
      </c>
      <c r="C146">
        <v>1000</v>
      </c>
      <c r="D146">
        <v>0</v>
      </c>
      <c r="E146" s="22">
        <f>TIME(,,result[[#This Row],[TimeMs]]/(1000))</f>
        <v>0</v>
      </c>
    </row>
    <row r="147" spans="1:5" x14ac:dyDescent="0.25">
      <c r="A147" s="1" t="s">
        <v>12</v>
      </c>
      <c r="B147" s="1" t="s">
        <v>11</v>
      </c>
      <c r="C147">
        <v>1000</v>
      </c>
      <c r="D147">
        <v>4</v>
      </c>
      <c r="E147" s="22">
        <f>TIME(,,result[[#This Row],[TimeMs]]/(1000))</f>
        <v>0</v>
      </c>
    </row>
    <row r="148" spans="1:5" x14ac:dyDescent="0.25">
      <c r="A148" s="1" t="s">
        <v>12</v>
      </c>
      <c r="B148" s="1" t="s">
        <v>6</v>
      </c>
      <c r="C148">
        <v>1000</v>
      </c>
      <c r="D148">
        <v>0</v>
      </c>
      <c r="E148" s="22">
        <f>TIME(,,result[[#This Row],[TimeMs]]/(1000))</f>
        <v>0</v>
      </c>
    </row>
    <row r="149" spans="1:5" x14ac:dyDescent="0.25">
      <c r="A149" s="1" t="s">
        <v>12</v>
      </c>
      <c r="B149" s="1" t="s">
        <v>5</v>
      </c>
      <c r="C149">
        <v>10000</v>
      </c>
      <c r="D149">
        <v>0</v>
      </c>
      <c r="E149" s="22">
        <f>TIME(,,result[[#This Row],[TimeMs]]/(1000))</f>
        <v>0</v>
      </c>
    </row>
    <row r="150" spans="1:5" x14ac:dyDescent="0.25">
      <c r="A150" s="1" t="s">
        <v>12</v>
      </c>
      <c r="B150" s="1" t="s">
        <v>11</v>
      </c>
      <c r="C150">
        <v>10000</v>
      </c>
      <c r="D150">
        <v>419</v>
      </c>
      <c r="E150" s="22">
        <f>TIME(,,result[[#This Row],[TimeMs]]/(1000))</f>
        <v>0</v>
      </c>
    </row>
    <row r="151" spans="1:5" x14ac:dyDescent="0.25">
      <c r="A151" s="1" t="s">
        <v>12</v>
      </c>
      <c r="B151" s="1" t="s">
        <v>6</v>
      </c>
      <c r="C151">
        <v>10000</v>
      </c>
      <c r="D151">
        <v>0</v>
      </c>
      <c r="E151" s="22">
        <f>TIME(,,result[[#This Row],[TimeMs]]/(1000))</f>
        <v>0</v>
      </c>
    </row>
    <row r="152" spans="1:5" x14ac:dyDescent="0.25">
      <c r="A152" s="1" t="s">
        <v>12</v>
      </c>
      <c r="B152" s="1" t="s">
        <v>5</v>
      </c>
      <c r="C152">
        <v>100000</v>
      </c>
      <c r="D152">
        <v>6</v>
      </c>
      <c r="E152" s="22">
        <f>TIME(,,result[[#This Row],[TimeMs]]/(1000))</f>
        <v>0</v>
      </c>
    </row>
    <row r="153" spans="1:5" x14ac:dyDescent="0.25">
      <c r="A153" s="1" t="s">
        <v>12</v>
      </c>
      <c r="B153" s="1" t="s">
        <v>11</v>
      </c>
      <c r="C153">
        <v>100000</v>
      </c>
      <c r="D153">
        <v>44104</v>
      </c>
      <c r="E153" s="22">
        <f>TIME(,,result[[#This Row],[TimeMs]]/(1000))</f>
        <v>5.0925925925925921E-4</v>
      </c>
    </row>
    <row r="154" spans="1:5" x14ac:dyDescent="0.25">
      <c r="A154" s="1" t="s">
        <v>12</v>
      </c>
      <c r="B154" s="1" t="s">
        <v>6</v>
      </c>
      <c r="C154">
        <v>100000</v>
      </c>
      <c r="D154">
        <v>1</v>
      </c>
      <c r="E154" s="22">
        <f>TIME(,,result[[#This Row],[TimeMs]]/(1000))</f>
        <v>0</v>
      </c>
    </row>
    <row r="155" spans="1:5" x14ac:dyDescent="0.25">
      <c r="A155" s="1" t="s">
        <v>12</v>
      </c>
      <c r="B155" s="1" t="s">
        <v>5</v>
      </c>
      <c r="C155">
        <v>200000</v>
      </c>
      <c r="D155">
        <v>13</v>
      </c>
      <c r="E155" s="22">
        <f>TIME(,,result[[#This Row],[TimeMs]]/(1000))</f>
        <v>0</v>
      </c>
    </row>
    <row r="156" spans="1:5" x14ac:dyDescent="0.25">
      <c r="A156" s="1" t="s">
        <v>12</v>
      </c>
      <c r="B156" s="1" t="s">
        <v>11</v>
      </c>
      <c r="C156">
        <v>200000</v>
      </c>
      <c r="D156">
        <v>178740</v>
      </c>
      <c r="E156" s="22">
        <f>TIME(,,result[[#This Row],[TimeMs]]/(1000))</f>
        <v>2.0601851851851853E-3</v>
      </c>
    </row>
    <row r="157" spans="1:5" x14ac:dyDescent="0.25">
      <c r="A157" s="1" t="s">
        <v>12</v>
      </c>
      <c r="B157" s="1" t="s">
        <v>6</v>
      </c>
      <c r="C157">
        <v>200000</v>
      </c>
      <c r="D157">
        <v>2</v>
      </c>
      <c r="E157" s="22">
        <f>TIME(,,result[[#This Row],[TimeMs]]/(1000))</f>
        <v>0</v>
      </c>
    </row>
    <row r="158" spans="1:5" x14ac:dyDescent="0.25">
      <c r="A158" s="1" t="s">
        <v>12</v>
      </c>
      <c r="B158" s="1" t="s">
        <v>5</v>
      </c>
      <c r="C158">
        <v>1000</v>
      </c>
      <c r="D158">
        <v>0</v>
      </c>
      <c r="E158" s="22">
        <f>TIME(,,result[[#This Row],[TimeMs]]/(1000))</f>
        <v>0</v>
      </c>
    </row>
    <row r="159" spans="1:5" x14ac:dyDescent="0.25">
      <c r="A159" s="1" t="s">
        <v>12</v>
      </c>
      <c r="B159" s="1" t="s">
        <v>11</v>
      </c>
      <c r="C159">
        <v>1000</v>
      </c>
      <c r="D159">
        <v>5</v>
      </c>
      <c r="E159" s="22">
        <f>TIME(,,result[[#This Row],[TimeMs]]/(1000))</f>
        <v>0</v>
      </c>
    </row>
    <row r="160" spans="1:5" x14ac:dyDescent="0.25">
      <c r="A160" s="1" t="s">
        <v>12</v>
      </c>
      <c r="B160" s="1" t="s">
        <v>6</v>
      </c>
      <c r="C160">
        <v>1000</v>
      </c>
      <c r="D160">
        <v>0</v>
      </c>
      <c r="E160" s="22">
        <f>TIME(,,result[[#This Row],[TimeMs]]/(1000))</f>
        <v>0</v>
      </c>
    </row>
    <row r="161" spans="1:5" x14ac:dyDescent="0.25">
      <c r="A161" s="1" t="s">
        <v>12</v>
      </c>
      <c r="B161" s="1" t="s">
        <v>5</v>
      </c>
      <c r="C161">
        <v>10000</v>
      </c>
      <c r="D161">
        <v>25</v>
      </c>
      <c r="E161" s="22">
        <f>TIME(,,result[[#This Row],[TimeMs]]/(1000))</f>
        <v>0</v>
      </c>
    </row>
    <row r="162" spans="1:5" x14ac:dyDescent="0.25">
      <c r="A162" s="1" t="s">
        <v>12</v>
      </c>
      <c r="B162" s="1" t="s">
        <v>11</v>
      </c>
      <c r="C162">
        <v>10000</v>
      </c>
      <c r="D162">
        <v>444</v>
      </c>
      <c r="E162" s="22">
        <f>TIME(,,result[[#This Row],[TimeMs]]/(1000))</f>
        <v>0</v>
      </c>
    </row>
    <row r="163" spans="1:5" x14ac:dyDescent="0.25">
      <c r="A163" s="1" t="s">
        <v>12</v>
      </c>
      <c r="B163" s="1" t="s">
        <v>6</v>
      </c>
      <c r="C163">
        <v>10000</v>
      </c>
      <c r="D163">
        <v>0</v>
      </c>
      <c r="E163" s="22">
        <f>TIME(,,result[[#This Row],[TimeMs]]/(1000))</f>
        <v>0</v>
      </c>
    </row>
    <row r="164" spans="1:5" x14ac:dyDescent="0.25">
      <c r="A164" s="1" t="s">
        <v>12</v>
      </c>
      <c r="B164" s="1" t="s">
        <v>5</v>
      </c>
      <c r="C164">
        <v>100000</v>
      </c>
      <c r="D164">
        <v>7</v>
      </c>
      <c r="E164" s="22">
        <f>TIME(,,result[[#This Row],[TimeMs]]/(1000))</f>
        <v>0</v>
      </c>
    </row>
    <row r="165" spans="1:5" x14ac:dyDescent="0.25">
      <c r="A165" s="1" t="s">
        <v>12</v>
      </c>
      <c r="B165" s="1" t="s">
        <v>11</v>
      </c>
      <c r="C165">
        <v>100000</v>
      </c>
      <c r="D165">
        <v>45228</v>
      </c>
      <c r="E165" s="22">
        <f>TIME(,,result[[#This Row],[TimeMs]]/(1000))</f>
        <v>5.2083333333333333E-4</v>
      </c>
    </row>
    <row r="166" spans="1:5" x14ac:dyDescent="0.25">
      <c r="A166" s="1" t="s">
        <v>12</v>
      </c>
      <c r="B166" s="1" t="s">
        <v>6</v>
      </c>
      <c r="C166">
        <v>100000</v>
      </c>
      <c r="D166">
        <v>1</v>
      </c>
      <c r="E166" s="22">
        <f>TIME(,,result[[#This Row],[TimeMs]]/(1000))</f>
        <v>0</v>
      </c>
    </row>
    <row r="167" spans="1:5" x14ac:dyDescent="0.25">
      <c r="A167" s="1" t="s">
        <v>12</v>
      </c>
      <c r="B167" s="1" t="s">
        <v>5</v>
      </c>
      <c r="C167">
        <v>200000</v>
      </c>
      <c r="D167">
        <v>15</v>
      </c>
      <c r="E167" s="22">
        <f>TIME(,,result[[#This Row],[TimeMs]]/(1000))</f>
        <v>0</v>
      </c>
    </row>
    <row r="168" spans="1:5" x14ac:dyDescent="0.25">
      <c r="A168" s="1" t="s">
        <v>12</v>
      </c>
      <c r="B168" s="1" t="s">
        <v>11</v>
      </c>
      <c r="C168">
        <v>200000</v>
      </c>
      <c r="D168">
        <v>184320</v>
      </c>
      <c r="E168" s="22">
        <f>TIME(,,result[[#This Row],[TimeMs]]/(1000))</f>
        <v>2.1296296296296298E-3</v>
      </c>
    </row>
    <row r="169" spans="1:5" x14ac:dyDescent="0.25">
      <c r="A169" s="1" t="s">
        <v>12</v>
      </c>
      <c r="B169" s="1" t="s">
        <v>6</v>
      </c>
      <c r="C169">
        <v>200000</v>
      </c>
      <c r="D169">
        <v>2</v>
      </c>
      <c r="E169" s="22">
        <f>TIME(,,result[[#This Row],[TimeMs]]/(1000))</f>
        <v>0</v>
      </c>
    </row>
    <row r="170" spans="1:5" x14ac:dyDescent="0.25">
      <c r="A170" s="1" t="s">
        <v>12</v>
      </c>
      <c r="B170" s="1" t="s">
        <v>5</v>
      </c>
      <c r="C170">
        <v>1000</v>
      </c>
      <c r="D170">
        <v>0</v>
      </c>
      <c r="E170" s="22">
        <f>TIME(,,result[[#This Row],[TimeMs]]/(1000))</f>
        <v>0</v>
      </c>
    </row>
    <row r="171" spans="1:5" x14ac:dyDescent="0.25">
      <c r="A171" s="1" t="s">
        <v>12</v>
      </c>
      <c r="B171" s="1" t="s">
        <v>11</v>
      </c>
      <c r="C171">
        <v>1000</v>
      </c>
      <c r="D171">
        <v>4</v>
      </c>
      <c r="E171" s="22">
        <f>TIME(,,result[[#This Row],[TimeMs]]/(1000))</f>
        <v>0</v>
      </c>
    </row>
    <row r="172" spans="1:5" x14ac:dyDescent="0.25">
      <c r="A172" s="1" t="s">
        <v>12</v>
      </c>
      <c r="B172" s="1" t="s">
        <v>6</v>
      </c>
      <c r="C172">
        <v>1000</v>
      </c>
      <c r="D172">
        <v>0</v>
      </c>
      <c r="E172" s="22">
        <f>TIME(,,result[[#This Row],[TimeMs]]/(1000))</f>
        <v>0</v>
      </c>
    </row>
    <row r="173" spans="1:5" x14ac:dyDescent="0.25">
      <c r="A173" s="1" t="s">
        <v>12</v>
      </c>
      <c r="B173" s="1" t="s">
        <v>5</v>
      </c>
      <c r="C173">
        <v>10000</v>
      </c>
      <c r="D173">
        <v>1</v>
      </c>
      <c r="E173" s="22">
        <f>TIME(,,result[[#This Row],[TimeMs]]/(1000))</f>
        <v>0</v>
      </c>
    </row>
    <row r="174" spans="1:5" x14ac:dyDescent="0.25">
      <c r="A174" s="1" t="s">
        <v>12</v>
      </c>
      <c r="B174" s="1" t="s">
        <v>11</v>
      </c>
      <c r="C174">
        <v>10000</v>
      </c>
      <c r="D174">
        <v>389</v>
      </c>
      <c r="E174" s="22">
        <f>TIME(,,result[[#This Row],[TimeMs]]/(1000))</f>
        <v>0</v>
      </c>
    </row>
    <row r="175" spans="1:5" x14ac:dyDescent="0.25">
      <c r="A175" s="1" t="s">
        <v>12</v>
      </c>
      <c r="B175" s="1" t="s">
        <v>6</v>
      </c>
      <c r="C175">
        <v>10000</v>
      </c>
      <c r="D175">
        <v>0</v>
      </c>
      <c r="E175" s="22">
        <f>TIME(,,result[[#This Row],[TimeMs]]/(1000))</f>
        <v>0</v>
      </c>
    </row>
    <row r="176" spans="1:5" x14ac:dyDescent="0.25">
      <c r="A176" s="1" t="s">
        <v>12</v>
      </c>
      <c r="B176" s="1" t="s">
        <v>5</v>
      </c>
      <c r="C176">
        <v>100000</v>
      </c>
      <c r="D176">
        <v>3</v>
      </c>
      <c r="E176" s="22">
        <f>TIME(,,result[[#This Row],[TimeMs]]/(1000))</f>
        <v>0</v>
      </c>
    </row>
    <row r="177" spans="1:5" x14ac:dyDescent="0.25">
      <c r="A177" s="1" t="s">
        <v>12</v>
      </c>
      <c r="B177" s="1" t="s">
        <v>11</v>
      </c>
      <c r="C177">
        <v>100000</v>
      </c>
      <c r="D177">
        <v>42745</v>
      </c>
      <c r="E177" s="22">
        <f>TIME(,,result[[#This Row],[TimeMs]]/(1000))</f>
        <v>4.861111111111111E-4</v>
      </c>
    </row>
    <row r="178" spans="1:5" x14ac:dyDescent="0.25">
      <c r="A178" s="1" t="s">
        <v>12</v>
      </c>
      <c r="B178" s="1" t="s">
        <v>6</v>
      </c>
      <c r="C178">
        <v>100000</v>
      </c>
      <c r="D178">
        <v>0</v>
      </c>
      <c r="E178" s="22">
        <f>TIME(,,result[[#This Row],[TimeMs]]/(1000))</f>
        <v>0</v>
      </c>
    </row>
    <row r="179" spans="1:5" x14ac:dyDescent="0.25">
      <c r="A179" s="1" t="s">
        <v>12</v>
      </c>
      <c r="B179" s="1" t="s">
        <v>5</v>
      </c>
      <c r="C179">
        <v>200000</v>
      </c>
      <c r="D179">
        <v>12</v>
      </c>
      <c r="E179" s="22">
        <f>TIME(,,result[[#This Row],[TimeMs]]/(1000))</f>
        <v>0</v>
      </c>
    </row>
    <row r="180" spans="1:5" x14ac:dyDescent="0.25">
      <c r="A180" s="1" t="s">
        <v>12</v>
      </c>
      <c r="B180" s="1" t="s">
        <v>11</v>
      </c>
      <c r="C180">
        <v>200000</v>
      </c>
      <c r="D180">
        <v>172315</v>
      </c>
      <c r="E180" s="22">
        <f>TIME(,,result[[#This Row],[TimeMs]]/(1000))</f>
        <v>1.9907407407407408E-3</v>
      </c>
    </row>
    <row r="181" spans="1:5" x14ac:dyDescent="0.25">
      <c r="A181" s="1" t="s">
        <v>12</v>
      </c>
      <c r="B181" s="1" t="s">
        <v>6</v>
      </c>
      <c r="C181">
        <v>200000</v>
      </c>
      <c r="D181">
        <v>2</v>
      </c>
      <c r="E181" s="22">
        <f>TIME(,,result[[#This Row],[TimeMs]]/(1000))</f>
        <v>0</v>
      </c>
    </row>
    <row r="182" spans="1:5" x14ac:dyDescent="0.25">
      <c r="A182" s="1" t="s">
        <v>12</v>
      </c>
      <c r="B182" s="1" t="s">
        <v>5</v>
      </c>
      <c r="C182">
        <v>1000</v>
      </c>
      <c r="D182">
        <v>0</v>
      </c>
      <c r="E182" s="22">
        <f>TIME(,,result[[#This Row],[TimeMs]]/(1000))</f>
        <v>0</v>
      </c>
    </row>
    <row r="183" spans="1:5" x14ac:dyDescent="0.25">
      <c r="A183" s="1" t="s">
        <v>12</v>
      </c>
      <c r="B183" s="1" t="s">
        <v>11</v>
      </c>
      <c r="C183">
        <v>1000</v>
      </c>
      <c r="D183">
        <v>4</v>
      </c>
      <c r="E183" s="22">
        <f>TIME(,,result[[#This Row],[TimeMs]]/(1000))</f>
        <v>0</v>
      </c>
    </row>
    <row r="184" spans="1:5" x14ac:dyDescent="0.25">
      <c r="A184" s="1" t="s">
        <v>12</v>
      </c>
      <c r="B184" s="1" t="s">
        <v>6</v>
      </c>
      <c r="C184">
        <v>1000</v>
      </c>
      <c r="D184">
        <v>0</v>
      </c>
      <c r="E184" s="22">
        <f>TIME(,,result[[#This Row],[TimeMs]]/(1000))</f>
        <v>0</v>
      </c>
    </row>
    <row r="185" spans="1:5" x14ac:dyDescent="0.25">
      <c r="A185" s="1" t="s">
        <v>12</v>
      </c>
      <c r="B185" s="1" t="s">
        <v>5</v>
      </c>
      <c r="C185">
        <v>10000</v>
      </c>
      <c r="D185">
        <v>1</v>
      </c>
      <c r="E185" s="22">
        <f>TIME(,,result[[#This Row],[TimeMs]]/(1000))</f>
        <v>0</v>
      </c>
    </row>
    <row r="186" spans="1:5" x14ac:dyDescent="0.25">
      <c r="A186" s="1" t="s">
        <v>12</v>
      </c>
      <c r="B186" s="1" t="s">
        <v>11</v>
      </c>
      <c r="C186">
        <v>10000</v>
      </c>
      <c r="D186">
        <v>410</v>
      </c>
      <c r="E186" s="22">
        <f>TIME(,,result[[#This Row],[TimeMs]]/(1000))</f>
        <v>0</v>
      </c>
    </row>
    <row r="187" spans="1:5" x14ac:dyDescent="0.25">
      <c r="A187" s="1" t="s">
        <v>12</v>
      </c>
      <c r="B187" s="1" t="s">
        <v>6</v>
      </c>
      <c r="C187">
        <v>10000</v>
      </c>
      <c r="D187">
        <v>0</v>
      </c>
      <c r="E187" s="22">
        <f>TIME(,,result[[#This Row],[TimeMs]]/(1000))</f>
        <v>0</v>
      </c>
    </row>
    <row r="188" spans="1:5" x14ac:dyDescent="0.25">
      <c r="A188" s="1" t="s">
        <v>12</v>
      </c>
      <c r="B188" s="1" t="s">
        <v>5</v>
      </c>
      <c r="C188">
        <v>100000</v>
      </c>
      <c r="D188">
        <v>2</v>
      </c>
      <c r="E188" s="22">
        <f>TIME(,,result[[#This Row],[TimeMs]]/(1000))</f>
        <v>0</v>
      </c>
    </row>
    <row r="189" spans="1:5" x14ac:dyDescent="0.25">
      <c r="A189" s="1" t="s">
        <v>12</v>
      </c>
      <c r="B189" s="1" t="s">
        <v>11</v>
      </c>
      <c r="C189">
        <v>100000</v>
      </c>
      <c r="D189">
        <v>42571</v>
      </c>
      <c r="E189" s="22">
        <f>TIME(,,result[[#This Row],[TimeMs]]/(1000))</f>
        <v>4.861111111111111E-4</v>
      </c>
    </row>
    <row r="190" spans="1:5" x14ac:dyDescent="0.25">
      <c r="A190" s="1" t="s">
        <v>12</v>
      </c>
      <c r="B190" s="1" t="s">
        <v>6</v>
      </c>
      <c r="C190">
        <v>100000</v>
      </c>
      <c r="D190">
        <v>0</v>
      </c>
      <c r="E190" s="22">
        <f>TIME(,,result[[#This Row],[TimeMs]]/(1000))</f>
        <v>0</v>
      </c>
    </row>
    <row r="191" spans="1:5" x14ac:dyDescent="0.25">
      <c r="A191" s="1" t="s">
        <v>12</v>
      </c>
      <c r="B191" s="1" t="s">
        <v>5</v>
      </c>
      <c r="C191">
        <v>200000</v>
      </c>
      <c r="D191">
        <v>11</v>
      </c>
      <c r="E191" s="22">
        <f>TIME(,,result[[#This Row],[TimeMs]]/(1000))</f>
        <v>0</v>
      </c>
    </row>
    <row r="192" spans="1:5" x14ac:dyDescent="0.25">
      <c r="A192" s="1" t="s">
        <v>12</v>
      </c>
      <c r="B192" s="1" t="s">
        <v>11</v>
      </c>
      <c r="C192">
        <v>200000</v>
      </c>
      <c r="D192">
        <v>175606</v>
      </c>
      <c r="E192" s="22">
        <f>TIME(,,result[[#This Row],[TimeMs]]/(1000))</f>
        <v>2.0254629629629629E-3</v>
      </c>
    </row>
    <row r="193" spans="1:5" x14ac:dyDescent="0.25">
      <c r="A193" s="1" t="s">
        <v>12</v>
      </c>
      <c r="B193" s="1" t="s">
        <v>6</v>
      </c>
      <c r="C193">
        <v>200000</v>
      </c>
      <c r="D193">
        <v>2</v>
      </c>
      <c r="E193" s="22">
        <f>TIME(,,result[[#This Row],[TimeMs]]/(1000))</f>
        <v>0</v>
      </c>
    </row>
    <row r="194" spans="1:5" x14ac:dyDescent="0.25">
      <c r="A194" s="1" t="s">
        <v>22</v>
      </c>
      <c r="B194" s="1" t="s">
        <v>23</v>
      </c>
      <c r="C194">
        <v>1000</v>
      </c>
      <c r="D194">
        <v>1</v>
      </c>
      <c r="E194" s="22">
        <f>TIME(,,result[[#This Row],[TimeMs]]/(1000))</f>
        <v>0</v>
      </c>
    </row>
    <row r="195" spans="1:5" x14ac:dyDescent="0.25">
      <c r="A195" s="1" t="s">
        <v>22</v>
      </c>
      <c r="B195" s="1" t="s">
        <v>24</v>
      </c>
      <c r="C195">
        <v>1000</v>
      </c>
      <c r="D195">
        <v>0</v>
      </c>
      <c r="E195" s="22">
        <f>TIME(,,result[[#This Row],[TimeMs]]/(1000))</f>
        <v>0</v>
      </c>
    </row>
    <row r="196" spans="1:5" x14ac:dyDescent="0.25">
      <c r="A196" s="1" t="s">
        <v>22</v>
      </c>
      <c r="B196" s="1" t="s">
        <v>25</v>
      </c>
      <c r="C196">
        <v>1000</v>
      </c>
      <c r="D196">
        <v>0</v>
      </c>
      <c r="E196" s="22">
        <f>TIME(,,result[[#This Row],[TimeMs]]/(1000))</f>
        <v>0</v>
      </c>
    </row>
    <row r="197" spans="1:5" x14ac:dyDescent="0.25">
      <c r="A197" s="1" t="s">
        <v>22</v>
      </c>
      <c r="B197" s="1" t="s">
        <v>23</v>
      </c>
      <c r="C197">
        <v>10000</v>
      </c>
      <c r="D197">
        <v>0</v>
      </c>
      <c r="E197" s="22">
        <f>TIME(,,result[[#This Row],[TimeMs]]/(1000))</f>
        <v>0</v>
      </c>
    </row>
    <row r="198" spans="1:5" x14ac:dyDescent="0.25">
      <c r="A198" s="1" t="s">
        <v>22</v>
      </c>
      <c r="B198" s="1" t="s">
        <v>24</v>
      </c>
      <c r="C198">
        <v>10000</v>
      </c>
      <c r="D198">
        <v>0</v>
      </c>
      <c r="E198" s="22">
        <f>TIME(,,result[[#This Row],[TimeMs]]/(1000))</f>
        <v>0</v>
      </c>
    </row>
    <row r="199" spans="1:5" x14ac:dyDescent="0.25">
      <c r="A199" s="1" t="s">
        <v>22</v>
      </c>
      <c r="B199" s="1" t="s">
        <v>25</v>
      </c>
      <c r="C199">
        <v>10000</v>
      </c>
      <c r="D199">
        <v>0</v>
      </c>
      <c r="E199" s="22">
        <f>TIME(,,result[[#This Row],[TimeMs]]/(1000))</f>
        <v>0</v>
      </c>
    </row>
    <row r="200" spans="1:5" x14ac:dyDescent="0.25">
      <c r="A200" s="1" t="s">
        <v>22</v>
      </c>
      <c r="B200" s="1" t="s">
        <v>23</v>
      </c>
      <c r="C200">
        <v>100000</v>
      </c>
      <c r="D200">
        <v>18</v>
      </c>
      <c r="E200" s="22">
        <f>TIME(,,result[[#This Row],[TimeMs]]/(1000))</f>
        <v>0</v>
      </c>
    </row>
    <row r="201" spans="1:5" x14ac:dyDescent="0.25">
      <c r="A201" s="1" t="s">
        <v>22</v>
      </c>
      <c r="B201" s="1" t="s">
        <v>24</v>
      </c>
      <c r="C201">
        <v>100000</v>
      </c>
      <c r="D201">
        <v>4</v>
      </c>
      <c r="E201" s="22">
        <f>TIME(,,result[[#This Row],[TimeMs]]/(1000))</f>
        <v>0</v>
      </c>
    </row>
    <row r="202" spans="1:5" x14ac:dyDescent="0.25">
      <c r="A202" s="1" t="s">
        <v>22</v>
      </c>
      <c r="B202" s="1" t="s">
        <v>25</v>
      </c>
      <c r="C202">
        <v>100000</v>
      </c>
      <c r="D202">
        <v>3</v>
      </c>
      <c r="E202" s="22">
        <f>TIME(,,result[[#This Row],[TimeMs]]/(1000))</f>
        <v>0</v>
      </c>
    </row>
    <row r="203" spans="1:5" x14ac:dyDescent="0.25">
      <c r="A203" s="1" t="s">
        <v>22</v>
      </c>
      <c r="B203" s="1" t="s">
        <v>23</v>
      </c>
      <c r="C203">
        <v>200000</v>
      </c>
      <c r="D203">
        <v>62</v>
      </c>
      <c r="E203" s="22">
        <f>TIME(,,result[[#This Row],[TimeMs]]/(1000))</f>
        <v>0</v>
      </c>
    </row>
    <row r="204" spans="1:5" x14ac:dyDescent="0.25">
      <c r="A204" s="1" t="s">
        <v>22</v>
      </c>
      <c r="B204" s="1" t="s">
        <v>24</v>
      </c>
      <c r="C204">
        <v>200000</v>
      </c>
      <c r="D204">
        <v>7</v>
      </c>
      <c r="E204" s="22">
        <f>TIME(,,result[[#This Row],[TimeMs]]/(1000))</f>
        <v>0</v>
      </c>
    </row>
    <row r="205" spans="1:5" x14ac:dyDescent="0.25">
      <c r="A205" s="1" t="s">
        <v>22</v>
      </c>
      <c r="B205" s="1" t="s">
        <v>25</v>
      </c>
      <c r="C205">
        <v>200000</v>
      </c>
      <c r="D205">
        <v>7</v>
      </c>
      <c r="E205" s="22">
        <f>TIME(,,result[[#This Row],[TimeMs]]/(1000))</f>
        <v>0</v>
      </c>
    </row>
    <row r="206" spans="1:5" x14ac:dyDescent="0.25">
      <c r="A206" s="1" t="s">
        <v>22</v>
      </c>
      <c r="B206" s="1" t="s">
        <v>23</v>
      </c>
      <c r="C206">
        <v>300000</v>
      </c>
      <c r="D206">
        <v>88</v>
      </c>
      <c r="E206" s="22">
        <f>TIME(,,result[[#This Row],[TimeMs]]/(1000))</f>
        <v>0</v>
      </c>
    </row>
    <row r="207" spans="1:5" x14ac:dyDescent="0.25">
      <c r="A207" s="1" t="s">
        <v>22</v>
      </c>
      <c r="B207" s="1" t="s">
        <v>24</v>
      </c>
      <c r="C207">
        <v>300000</v>
      </c>
      <c r="D207">
        <v>20</v>
      </c>
      <c r="E207" s="22">
        <f>TIME(,,result[[#This Row],[TimeMs]]/(1000))</f>
        <v>0</v>
      </c>
    </row>
    <row r="208" spans="1:5" x14ac:dyDescent="0.25">
      <c r="A208" s="1" t="s">
        <v>22</v>
      </c>
      <c r="B208" s="1" t="s">
        <v>25</v>
      </c>
      <c r="C208">
        <v>300000</v>
      </c>
      <c r="D208">
        <v>18</v>
      </c>
      <c r="E208" s="22">
        <f>TIME(,,result[[#This Row],[TimeMs]]/(1000))</f>
        <v>0</v>
      </c>
    </row>
    <row r="209" spans="1:5" x14ac:dyDescent="0.25">
      <c r="A209" s="1" t="s">
        <v>22</v>
      </c>
      <c r="B209" s="1" t="s">
        <v>23</v>
      </c>
      <c r="C209">
        <v>1000000</v>
      </c>
      <c r="D209">
        <v>241</v>
      </c>
      <c r="E209" s="22">
        <f>TIME(,,result[[#This Row],[TimeMs]]/(1000))</f>
        <v>0</v>
      </c>
    </row>
    <row r="210" spans="1:5" x14ac:dyDescent="0.25">
      <c r="A210" s="1" t="s">
        <v>22</v>
      </c>
      <c r="B210" s="1" t="s">
        <v>24</v>
      </c>
      <c r="C210">
        <v>1000000</v>
      </c>
      <c r="D210">
        <v>33</v>
      </c>
      <c r="E210" s="22">
        <f>TIME(,,result[[#This Row],[TimeMs]]/(1000))</f>
        <v>0</v>
      </c>
    </row>
    <row r="211" spans="1:5" x14ac:dyDescent="0.25">
      <c r="A211" s="1" t="s">
        <v>22</v>
      </c>
      <c r="B211" s="1" t="s">
        <v>25</v>
      </c>
      <c r="C211">
        <v>1000000</v>
      </c>
      <c r="D211">
        <v>29</v>
      </c>
      <c r="E211" s="22">
        <f>TIME(,,result[[#This Row],[TimeMs]]/(1000))</f>
        <v>0</v>
      </c>
    </row>
    <row r="212" spans="1:5" x14ac:dyDescent="0.25">
      <c r="A212" s="1" t="s">
        <v>22</v>
      </c>
      <c r="B212" s="1" t="s">
        <v>23</v>
      </c>
      <c r="C212">
        <v>1000</v>
      </c>
      <c r="D212">
        <v>1</v>
      </c>
      <c r="E212" s="22">
        <f>TIME(,,result[[#This Row],[TimeMs]]/(1000))</f>
        <v>0</v>
      </c>
    </row>
    <row r="213" spans="1:5" x14ac:dyDescent="0.25">
      <c r="A213" s="1" t="s">
        <v>22</v>
      </c>
      <c r="B213" s="1" t="s">
        <v>24</v>
      </c>
      <c r="C213">
        <v>1000</v>
      </c>
      <c r="D213">
        <v>0</v>
      </c>
      <c r="E213" s="22">
        <f>TIME(,,result[[#This Row],[TimeMs]]/(1000))</f>
        <v>0</v>
      </c>
    </row>
    <row r="214" spans="1:5" x14ac:dyDescent="0.25">
      <c r="A214" s="1" t="s">
        <v>22</v>
      </c>
      <c r="B214" s="1" t="s">
        <v>25</v>
      </c>
      <c r="C214">
        <v>1000</v>
      </c>
      <c r="D214">
        <v>0</v>
      </c>
      <c r="E214" s="22">
        <f>TIME(,,result[[#This Row],[TimeMs]]/(1000))</f>
        <v>0</v>
      </c>
    </row>
    <row r="215" spans="1:5" x14ac:dyDescent="0.25">
      <c r="A215" s="1" t="s">
        <v>22</v>
      </c>
      <c r="B215" s="1" t="s">
        <v>23</v>
      </c>
      <c r="C215">
        <v>10000</v>
      </c>
      <c r="D215">
        <v>1</v>
      </c>
      <c r="E215" s="22">
        <f>TIME(,,result[[#This Row],[TimeMs]]/(1000))</f>
        <v>0</v>
      </c>
    </row>
    <row r="216" spans="1:5" x14ac:dyDescent="0.25">
      <c r="A216" s="1" t="s">
        <v>22</v>
      </c>
      <c r="B216" s="1" t="s">
        <v>24</v>
      </c>
      <c r="C216">
        <v>10000</v>
      </c>
      <c r="D216">
        <v>0</v>
      </c>
      <c r="E216" s="22">
        <f>TIME(,,result[[#This Row],[TimeMs]]/(1000))</f>
        <v>0</v>
      </c>
    </row>
    <row r="217" spans="1:5" x14ac:dyDescent="0.25">
      <c r="A217" s="1" t="s">
        <v>22</v>
      </c>
      <c r="B217" s="1" t="s">
        <v>25</v>
      </c>
      <c r="C217">
        <v>10000</v>
      </c>
      <c r="D217">
        <v>0</v>
      </c>
      <c r="E217" s="22">
        <f>TIME(,,result[[#This Row],[TimeMs]]/(1000))</f>
        <v>0</v>
      </c>
    </row>
    <row r="218" spans="1:5" x14ac:dyDescent="0.25">
      <c r="A218" s="1" t="s">
        <v>22</v>
      </c>
      <c r="B218" s="1" t="s">
        <v>23</v>
      </c>
      <c r="C218">
        <v>100000</v>
      </c>
      <c r="D218">
        <v>16</v>
      </c>
      <c r="E218" s="22">
        <f>TIME(,,result[[#This Row],[TimeMs]]/(1000))</f>
        <v>0</v>
      </c>
    </row>
    <row r="219" spans="1:5" x14ac:dyDescent="0.25">
      <c r="A219" s="1" t="s">
        <v>22</v>
      </c>
      <c r="B219" s="1" t="s">
        <v>24</v>
      </c>
      <c r="C219">
        <v>100000</v>
      </c>
      <c r="D219">
        <v>2</v>
      </c>
      <c r="E219" s="22">
        <f>TIME(,,result[[#This Row],[TimeMs]]/(1000))</f>
        <v>0</v>
      </c>
    </row>
    <row r="220" spans="1:5" x14ac:dyDescent="0.25">
      <c r="A220" s="1" t="s">
        <v>22</v>
      </c>
      <c r="B220" s="1" t="s">
        <v>25</v>
      </c>
      <c r="C220">
        <v>100000</v>
      </c>
      <c r="D220">
        <v>3</v>
      </c>
      <c r="E220" s="22">
        <f>TIME(,,result[[#This Row],[TimeMs]]/(1000))</f>
        <v>0</v>
      </c>
    </row>
    <row r="221" spans="1:5" x14ac:dyDescent="0.25">
      <c r="A221" s="1" t="s">
        <v>22</v>
      </c>
      <c r="B221" s="1" t="s">
        <v>23</v>
      </c>
      <c r="C221">
        <v>200000</v>
      </c>
      <c r="D221">
        <v>52</v>
      </c>
      <c r="E221" s="22">
        <f>TIME(,,result[[#This Row],[TimeMs]]/(1000))</f>
        <v>0</v>
      </c>
    </row>
    <row r="222" spans="1:5" x14ac:dyDescent="0.25">
      <c r="A222" s="1" t="s">
        <v>22</v>
      </c>
      <c r="B222" s="1" t="s">
        <v>24</v>
      </c>
      <c r="C222">
        <v>200000</v>
      </c>
      <c r="D222">
        <v>5</v>
      </c>
      <c r="E222" s="22">
        <f>TIME(,,result[[#This Row],[TimeMs]]/(1000))</f>
        <v>0</v>
      </c>
    </row>
    <row r="223" spans="1:5" x14ac:dyDescent="0.25">
      <c r="A223" s="1" t="s">
        <v>22</v>
      </c>
      <c r="B223" s="1" t="s">
        <v>25</v>
      </c>
      <c r="C223">
        <v>200000</v>
      </c>
      <c r="D223">
        <v>4</v>
      </c>
      <c r="E223" s="22">
        <f>TIME(,,result[[#This Row],[TimeMs]]/(1000))</f>
        <v>0</v>
      </c>
    </row>
    <row r="224" spans="1:5" x14ac:dyDescent="0.25">
      <c r="A224" s="1" t="s">
        <v>22</v>
      </c>
      <c r="B224" s="1" t="s">
        <v>23</v>
      </c>
      <c r="C224">
        <v>300000</v>
      </c>
      <c r="D224">
        <v>82</v>
      </c>
      <c r="E224" s="22">
        <f>TIME(,,result[[#This Row],[TimeMs]]/(1000))</f>
        <v>0</v>
      </c>
    </row>
    <row r="225" spans="1:5" x14ac:dyDescent="0.25">
      <c r="A225" s="1" t="s">
        <v>22</v>
      </c>
      <c r="B225" s="1" t="s">
        <v>24</v>
      </c>
      <c r="C225">
        <v>300000</v>
      </c>
      <c r="D225">
        <v>4</v>
      </c>
      <c r="E225" s="22">
        <f>TIME(,,result[[#This Row],[TimeMs]]/(1000))</f>
        <v>0</v>
      </c>
    </row>
    <row r="226" spans="1:5" x14ac:dyDescent="0.25">
      <c r="A226" s="1" t="s">
        <v>22</v>
      </c>
      <c r="B226" s="1" t="s">
        <v>25</v>
      </c>
      <c r="C226">
        <v>300000</v>
      </c>
      <c r="D226">
        <v>6</v>
      </c>
      <c r="E226" s="22">
        <f>TIME(,,result[[#This Row],[TimeMs]]/(1000))</f>
        <v>0</v>
      </c>
    </row>
    <row r="227" spans="1:5" x14ac:dyDescent="0.25">
      <c r="A227" s="1" t="s">
        <v>22</v>
      </c>
      <c r="B227" s="1" t="s">
        <v>23</v>
      </c>
      <c r="C227">
        <v>1000000</v>
      </c>
      <c r="D227">
        <v>204</v>
      </c>
      <c r="E227" s="22">
        <f>TIME(,,result[[#This Row],[TimeMs]]/(1000))</f>
        <v>0</v>
      </c>
    </row>
    <row r="228" spans="1:5" x14ac:dyDescent="0.25">
      <c r="A228" s="1" t="s">
        <v>22</v>
      </c>
      <c r="B228" s="1" t="s">
        <v>24</v>
      </c>
      <c r="C228">
        <v>1000000</v>
      </c>
      <c r="D228">
        <v>36</v>
      </c>
      <c r="E228" s="22">
        <f>TIME(,,result[[#This Row],[TimeMs]]/(1000))</f>
        <v>0</v>
      </c>
    </row>
    <row r="229" spans="1:5" x14ac:dyDescent="0.25">
      <c r="A229" s="1" t="s">
        <v>22</v>
      </c>
      <c r="B229" s="1" t="s">
        <v>25</v>
      </c>
      <c r="C229">
        <v>1000000</v>
      </c>
      <c r="D229">
        <v>31</v>
      </c>
      <c r="E229" s="22">
        <f>TIME(,,result[[#This Row],[TimeMs]]/(1000))</f>
        <v>0</v>
      </c>
    </row>
    <row r="230" spans="1:5" x14ac:dyDescent="0.25">
      <c r="A230" s="1" t="s">
        <v>22</v>
      </c>
      <c r="B230" s="1" t="s">
        <v>23</v>
      </c>
      <c r="C230">
        <v>1000</v>
      </c>
      <c r="D230">
        <v>1</v>
      </c>
      <c r="E230" s="22">
        <f>TIME(,,result[[#This Row],[TimeMs]]/(1000))</f>
        <v>0</v>
      </c>
    </row>
    <row r="231" spans="1:5" x14ac:dyDescent="0.25">
      <c r="A231" s="1" t="s">
        <v>22</v>
      </c>
      <c r="B231" s="1" t="s">
        <v>24</v>
      </c>
      <c r="C231">
        <v>1000</v>
      </c>
      <c r="D231">
        <v>0</v>
      </c>
      <c r="E231" s="22">
        <f>TIME(,,result[[#This Row],[TimeMs]]/(1000))</f>
        <v>0</v>
      </c>
    </row>
    <row r="232" spans="1:5" x14ac:dyDescent="0.25">
      <c r="A232" s="1" t="s">
        <v>22</v>
      </c>
      <c r="B232" s="1" t="s">
        <v>25</v>
      </c>
      <c r="C232">
        <v>1000</v>
      </c>
      <c r="D232">
        <v>0</v>
      </c>
      <c r="E232" s="22">
        <f>TIME(,,result[[#This Row],[TimeMs]]/(1000))</f>
        <v>0</v>
      </c>
    </row>
    <row r="233" spans="1:5" x14ac:dyDescent="0.25">
      <c r="A233" s="1" t="s">
        <v>22</v>
      </c>
      <c r="B233" s="1" t="s">
        <v>23</v>
      </c>
      <c r="C233">
        <v>10000</v>
      </c>
      <c r="D233">
        <v>0</v>
      </c>
      <c r="E233" s="22">
        <f>TIME(,,result[[#This Row],[TimeMs]]/(1000))</f>
        <v>0</v>
      </c>
    </row>
    <row r="234" spans="1:5" x14ac:dyDescent="0.25">
      <c r="A234" s="1" t="s">
        <v>22</v>
      </c>
      <c r="B234" s="1" t="s">
        <v>24</v>
      </c>
      <c r="C234">
        <v>10000</v>
      </c>
      <c r="D234">
        <v>0</v>
      </c>
      <c r="E234" s="22">
        <f>TIME(,,result[[#This Row],[TimeMs]]/(1000))</f>
        <v>0</v>
      </c>
    </row>
    <row r="235" spans="1:5" x14ac:dyDescent="0.25">
      <c r="A235" s="1" t="s">
        <v>22</v>
      </c>
      <c r="B235" s="1" t="s">
        <v>25</v>
      </c>
      <c r="C235">
        <v>10000</v>
      </c>
      <c r="D235">
        <v>0</v>
      </c>
      <c r="E235" s="22">
        <f>TIME(,,result[[#This Row],[TimeMs]]/(1000))</f>
        <v>0</v>
      </c>
    </row>
    <row r="236" spans="1:5" x14ac:dyDescent="0.25">
      <c r="A236" s="1" t="s">
        <v>22</v>
      </c>
      <c r="B236" s="1" t="s">
        <v>23</v>
      </c>
      <c r="C236">
        <v>100000</v>
      </c>
      <c r="D236">
        <v>20</v>
      </c>
      <c r="E236" s="22">
        <f>TIME(,,result[[#This Row],[TimeMs]]/(1000))</f>
        <v>0</v>
      </c>
    </row>
    <row r="237" spans="1:5" x14ac:dyDescent="0.25">
      <c r="A237" s="1" t="s">
        <v>22</v>
      </c>
      <c r="B237" s="1" t="s">
        <v>24</v>
      </c>
      <c r="C237">
        <v>100000</v>
      </c>
      <c r="D237">
        <v>2</v>
      </c>
      <c r="E237" s="22">
        <f>TIME(,,result[[#This Row],[TimeMs]]/(1000))</f>
        <v>0</v>
      </c>
    </row>
    <row r="238" spans="1:5" x14ac:dyDescent="0.25">
      <c r="A238" s="1" t="s">
        <v>22</v>
      </c>
      <c r="B238" s="1" t="s">
        <v>25</v>
      </c>
      <c r="C238">
        <v>100000</v>
      </c>
      <c r="D238">
        <v>3</v>
      </c>
      <c r="E238" s="22">
        <f>TIME(,,result[[#This Row],[TimeMs]]/(1000))</f>
        <v>0</v>
      </c>
    </row>
    <row r="239" spans="1:5" x14ac:dyDescent="0.25">
      <c r="A239" s="1" t="s">
        <v>22</v>
      </c>
      <c r="B239" s="1" t="s">
        <v>23</v>
      </c>
      <c r="C239">
        <v>200000</v>
      </c>
      <c r="D239">
        <v>81</v>
      </c>
      <c r="E239" s="22">
        <f>TIME(,,result[[#This Row],[TimeMs]]/(1000))</f>
        <v>0</v>
      </c>
    </row>
    <row r="240" spans="1:5" x14ac:dyDescent="0.25">
      <c r="A240" s="1" t="s">
        <v>22</v>
      </c>
      <c r="B240" s="1" t="s">
        <v>24</v>
      </c>
      <c r="C240">
        <v>200000</v>
      </c>
      <c r="D240">
        <v>16</v>
      </c>
      <c r="E240" s="22">
        <f>TIME(,,result[[#This Row],[TimeMs]]/(1000))</f>
        <v>0</v>
      </c>
    </row>
    <row r="241" spans="1:5" x14ac:dyDescent="0.25">
      <c r="A241" s="1" t="s">
        <v>22</v>
      </c>
      <c r="B241" s="1" t="s">
        <v>25</v>
      </c>
      <c r="C241">
        <v>200000</v>
      </c>
      <c r="D241">
        <v>31</v>
      </c>
      <c r="E241" s="22">
        <f>TIME(,,result[[#This Row],[TimeMs]]/(1000))</f>
        <v>0</v>
      </c>
    </row>
    <row r="242" spans="1:5" x14ac:dyDescent="0.25">
      <c r="A242" s="1" t="s">
        <v>22</v>
      </c>
      <c r="B242" s="1" t="s">
        <v>23</v>
      </c>
      <c r="C242">
        <v>300000</v>
      </c>
      <c r="D242">
        <v>69</v>
      </c>
      <c r="E242" s="22">
        <f>TIME(,,result[[#This Row],[TimeMs]]/(1000))</f>
        <v>0</v>
      </c>
    </row>
    <row r="243" spans="1:5" x14ac:dyDescent="0.25">
      <c r="A243" s="1" t="s">
        <v>22</v>
      </c>
      <c r="B243" s="1" t="s">
        <v>24</v>
      </c>
      <c r="C243">
        <v>300000</v>
      </c>
      <c r="D243">
        <v>17</v>
      </c>
      <c r="E243" s="22">
        <f>TIME(,,result[[#This Row],[TimeMs]]/(1000))</f>
        <v>0</v>
      </c>
    </row>
    <row r="244" spans="1:5" x14ac:dyDescent="0.25">
      <c r="A244" s="1" t="s">
        <v>22</v>
      </c>
      <c r="B244" s="1" t="s">
        <v>25</v>
      </c>
      <c r="C244">
        <v>300000</v>
      </c>
      <c r="D244">
        <v>9</v>
      </c>
      <c r="E244" s="22">
        <f>TIME(,,result[[#This Row],[TimeMs]]/(1000))</f>
        <v>0</v>
      </c>
    </row>
    <row r="245" spans="1:5" x14ac:dyDescent="0.25">
      <c r="A245" s="1" t="s">
        <v>22</v>
      </c>
      <c r="B245" s="1" t="s">
        <v>23</v>
      </c>
      <c r="C245">
        <v>1000000</v>
      </c>
      <c r="D245">
        <v>218</v>
      </c>
      <c r="E245" s="22">
        <f>TIME(,,result[[#This Row],[TimeMs]]/(1000))</f>
        <v>0</v>
      </c>
    </row>
    <row r="246" spans="1:5" x14ac:dyDescent="0.25">
      <c r="A246" s="1" t="s">
        <v>22</v>
      </c>
      <c r="B246" s="1" t="s">
        <v>24</v>
      </c>
      <c r="C246">
        <v>1000000</v>
      </c>
      <c r="D246">
        <v>24</v>
      </c>
      <c r="E246" s="22">
        <f>TIME(,,result[[#This Row],[TimeMs]]/(1000))</f>
        <v>0</v>
      </c>
    </row>
    <row r="247" spans="1:5" x14ac:dyDescent="0.25">
      <c r="A247" s="1" t="s">
        <v>22</v>
      </c>
      <c r="B247" s="1" t="s">
        <v>25</v>
      </c>
      <c r="C247">
        <v>1000000</v>
      </c>
      <c r="D247">
        <v>24</v>
      </c>
      <c r="E247" s="22">
        <f>TIME(,,result[[#This Row],[TimeMs]]/(1000))</f>
        <v>0</v>
      </c>
    </row>
    <row r="248" spans="1:5" x14ac:dyDescent="0.25">
      <c r="A248" s="1" t="s">
        <v>13</v>
      </c>
      <c r="B248" s="1" t="s">
        <v>5</v>
      </c>
      <c r="C248">
        <v>1000</v>
      </c>
      <c r="D248">
        <v>0</v>
      </c>
      <c r="E248" s="22">
        <f>TIME(,,result[[#This Row],[TimeMs]]/(1000))</f>
        <v>0</v>
      </c>
    </row>
    <row r="249" spans="1:5" x14ac:dyDescent="0.25">
      <c r="A249" s="1" t="s">
        <v>13</v>
      </c>
      <c r="B249" s="1" t="s">
        <v>11</v>
      </c>
      <c r="C249">
        <v>1000</v>
      </c>
      <c r="D249">
        <v>4</v>
      </c>
      <c r="E249" s="22">
        <f>TIME(,,result[[#This Row],[TimeMs]]/(1000))</f>
        <v>0</v>
      </c>
    </row>
    <row r="250" spans="1:5" x14ac:dyDescent="0.25">
      <c r="A250" s="1" t="s">
        <v>13</v>
      </c>
      <c r="B250" s="1" t="s">
        <v>6</v>
      </c>
      <c r="C250">
        <v>1000</v>
      </c>
      <c r="D250">
        <v>0</v>
      </c>
      <c r="E250" s="22">
        <f>TIME(,,result[[#This Row],[TimeMs]]/(1000))</f>
        <v>0</v>
      </c>
    </row>
    <row r="251" spans="1:5" x14ac:dyDescent="0.25">
      <c r="A251" s="1" t="s">
        <v>13</v>
      </c>
      <c r="B251" s="1" t="s">
        <v>5</v>
      </c>
      <c r="C251">
        <v>10000</v>
      </c>
      <c r="D251">
        <v>0</v>
      </c>
      <c r="E251" s="22">
        <f>TIME(,,result[[#This Row],[TimeMs]]/(1000))</f>
        <v>0</v>
      </c>
    </row>
    <row r="252" spans="1:5" x14ac:dyDescent="0.25">
      <c r="A252" s="1" t="s">
        <v>13</v>
      </c>
      <c r="B252" s="1" t="s">
        <v>11</v>
      </c>
      <c r="C252">
        <v>10000</v>
      </c>
      <c r="D252">
        <v>376</v>
      </c>
      <c r="E252" s="22">
        <f>TIME(,,result[[#This Row],[TimeMs]]/(1000))</f>
        <v>0</v>
      </c>
    </row>
    <row r="253" spans="1:5" x14ac:dyDescent="0.25">
      <c r="A253" s="1" t="s">
        <v>13</v>
      </c>
      <c r="B253" s="1" t="s">
        <v>6</v>
      </c>
      <c r="C253">
        <v>10000</v>
      </c>
      <c r="D253">
        <v>0</v>
      </c>
      <c r="E253" s="22">
        <f>TIME(,,result[[#This Row],[TimeMs]]/(1000))</f>
        <v>0</v>
      </c>
    </row>
    <row r="254" spans="1:5" x14ac:dyDescent="0.25">
      <c r="A254" s="1" t="s">
        <v>13</v>
      </c>
      <c r="B254" s="1" t="s">
        <v>5</v>
      </c>
      <c r="C254">
        <v>100000</v>
      </c>
      <c r="D254">
        <v>12</v>
      </c>
      <c r="E254" s="22">
        <f>TIME(,,result[[#This Row],[TimeMs]]/(1000))</f>
        <v>0</v>
      </c>
    </row>
    <row r="255" spans="1:5" x14ac:dyDescent="0.25">
      <c r="A255" s="1" t="s">
        <v>13</v>
      </c>
      <c r="B255" s="1" t="s">
        <v>11</v>
      </c>
      <c r="C255">
        <v>100000</v>
      </c>
      <c r="D255">
        <v>37935</v>
      </c>
      <c r="E255" s="22">
        <f>TIME(,,result[[#This Row],[TimeMs]]/(1000))</f>
        <v>4.2824074074074075E-4</v>
      </c>
    </row>
    <row r="256" spans="1:5" x14ac:dyDescent="0.25">
      <c r="A256" s="1" t="s">
        <v>13</v>
      </c>
      <c r="B256" s="1" t="s">
        <v>6</v>
      </c>
      <c r="C256">
        <v>100000</v>
      </c>
      <c r="D256">
        <v>1</v>
      </c>
      <c r="E256" s="22">
        <f>TIME(,,result[[#This Row],[TimeMs]]/(1000))</f>
        <v>0</v>
      </c>
    </row>
    <row r="257" spans="1:5" x14ac:dyDescent="0.25">
      <c r="A257" s="1" t="s">
        <v>13</v>
      </c>
      <c r="B257" s="1" t="s">
        <v>5</v>
      </c>
      <c r="C257">
        <v>200000</v>
      </c>
      <c r="D257">
        <v>11</v>
      </c>
      <c r="E257" s="22">
        <f>TIME(,,result[[#This Row],[TimeMs]]/(1000))</f>
        <v>0</v>
      </c>
    </row>
    <row r="258" spans="1:5" x14ac:dyDescent="0.25">
      <c r="A258" s="1" t="s">
        <v>13</v>
      </c>
      <c r="B258" s="1" t="s">
        <v>11</v>
      </c>
      <c r="C258">
        <v>200000</v>
      </c>
      <c r="D258">
        <v>163749</v>
      </c>
      <c r="E258" s="22">
        <f>TIME(,,result[[#This Row],[TimeMs]]/(1000))</f>
        <v>1.8865740740740742E-3</v>
      </c>
    </row>
    <row r="259" spans="1:5" x14ac:dyDescent="0.25">
      <c r="A259" s="1" t="s">
        <v>13</v>
      </c>
      <c r="B259" s="1" t="s">
        <v>6</v>
      </c>
      <c r="C259">
        <v>200000</v>
      </c>
      <c r="D259">
        <v>3</v>
      </c>
      <c r="E259" s="22">
        <f>TIME(,,result[[#This Row],[TimeMs]]/(1000))</f>
        <v>0</v>
      </c>
    </row>
    <row r="260" spans="1:5" x14ac:dyDescent="0.25">
      <c r="A260" s="1" t="s">
        <v>13</v>
      </c>
      <c r="B260" s="1" t="s">
        <v>5</v>
      </c>
      <c r="C260">
        <v>1000</v>
      </c>
      <c r="D260">
        <v>0</v>
      </c>
      <c r="E260" s="22">
        <f>TIME(,,result[[#This Row],[TimeMs]]/(1000))</f>
        <v>0</v>
      </c>
    </row>
    <row r="261" spans="1:5" x14ac:dyDescent="0.25">
      <c r="A261" s="1" t="s">
        <v>13</v>
      </c>
      <c r="B261" s="1" t="s">
        <v>11</v>
      </c>
      <c r="C261">
        <v>1000</v>
      </c>
      <c r="D261">
        <v>4</v>
      </c>
      <c r="E261" s="22">
        <f>TIME(,,result[[#This Row],[TimeMs]]/(1000))</f>
        <v>0</v>
      </c>
    </row>
    <row r="262" spans="1:5" x14ac:dyDescent="0.25">
      <c r="A262" s="1" t="s">
        <v>13</v>
      </c>
      <c r="B262" s="1" t="s">
        <v>6</v>
      </c>
      <c r="C262">
        <v>1000</v>
      </c>
      <c r="D262">
        <v>0</v>
      </c>
      <c r="E262" s="22">
        <f>TIME(,,result[[#This Row],[TimeMs]]/(1000))</f>
        <v>0</v>
      </c>
    </row>
    <row r="263" spans="1:5" x14ac:dyDescent="0.25">
      <c r="A263" s="1" t="s">
        <v>13</v>
      </c>
      <c r="B263" s="1" t="s">
        <v>5</v>
      </c>
      <c r="C263">
        <v>10000</v>
      </c>
      <c r="D263">
        <v>0</v>
      </c>
      <c r="E263" s="22">
        <f>TIME(,,result[[#This Row],[TimeMs]]/(1000))</f>
        <v>0</v>
      </c>
    </row>
    <row r="264" spans="1:5" x14ac:dyDescent="0.25">
      <c r="A264" s="1" t="s">
        <v>13</v>
      </c>
      <c r="B264" s="1" t="s">
        <v>11</v>
      </c>
      <c r="C264">
        <v>10000</v>
      </c>
      <c r="D264">
        <v>424</v>
      </c>
      <c r="E264" s="22">
        <f>TIME(,,result[[#This Row],[TimeMs]]/(1000))</f>
        <v>0</v>
      </c>
    </row>
    <row r="265" spans="1:5" x14ac:dyDescent="0.25">
      <c r="A265" s="1" t="s">
        <v>13</v>
      </c>
      <c r="B265" s="1" t="s">
        <v>6</v>
      </c>
      <c r="C265">
        <v>10000</v>
      </c>
      <c r="D265">
        <v>0</v>
      </c>
      <c r="E265" s="22">
        <f>TIME(,,result[[#This Row],[TimeMs]]/(1000))</f>
        <v>0</v>
      </c>
    </row>
    <row r="266" spans="1:5" x14ac:dyDescent="0.25">
      <c r="A266" s="1" t="s">
        <v>13</v>
      </c>
      <c r="B266" s="1" t="s">
        <v>5</v>
      </c>
      <c r="C266">
        <v>100000</v>
      </c>
      <c r="D266">
        <v>3</v>
      </c>
      <c r="E266" s="22">
        <f>TIME(,,result[[#This Row],[TimeMs]]/(1000))</f>
        <v>0</v>
      </c>
    </row>
    <row r="267" spans="1:5" x14ac:dyDescent="0.25">
      <c r="A267" s="1" t="s">
        <v>13</v>
      </c>
      <c r="B267" s="1" t="s">
        <v>11</v>
      </c>
      <c r="C267">
        <v>100000</v>
      </c>
      <c r="D267">
        <v>41816</v>
      </c>
      <c r="E267" s="22">
        <f>TIME(,,result[[#This Row],[TimeMs]]/(1000))</f>
        <v>4.7453703703703704E-4</v>
      </c>
    </row>
    <row r="268" spans="1:5" x14ac:dyDescent="0.25">
      <c r="A268" s="1" t="s">
        <v>13</v>
      </c>
      <c r="B268" s="1" t="s">
        <v>6</v>
      </c>
      <c r="C268">
        <v>100000</v>
      </c>
      <c r="D268">
        <v>1</v>
      </c>
      <c r="E268" s="22">
        <f>TIME(,,result[[#This Row],[TimeMs]]/(1000))</f>
        <v>0</v>
      </c>
    </row>
    <row r="269" spans="1:5" x14ac:dyDescent="0.25">
      <c r="A269" s="1" t="s">
        <v>13</v>
      </c>
      <c r="B269" s="1" t="s">
        <v>5</v>
      </c>
      <c r="C269">
        <v>200000</v>
      </c>
      <c r="D269">
        <v>13</v>
      </c>
      <c r="E269" s="22">
        <f>TIME(,,result[[#This Row],[TimeMs]]/(1000))</f>
        <v>0</v>
      </c>
    </row>
    <row r="270" spans="1:5" x14ac:dyDescent="0.25">
      <c r="A270" s="1" t="s">
        <v>13</v>
      </c>
      <c r="B270" s="1" t="s">
        <v>11</v>
      </c>
      <c r="C270">
        <v>200000</v>
      </c>
      <c r="D270">
        <v>182367</v>
      </c>
      <c r="E270" s="22">
        <f>TIME(,,result[[#This Row],[TimeMs]]/(1000))</f>
        <v>2.1064814814814813E-3</v>
      </c>
    </row>
    <row r="271" spans="1:5" x14ac:dyDescent="0.25">
      <c r="A271" s="1" t="s">
        <v>13</v>
      </c>
      <c r="B271" s="1" t="s">
        <v>6</v>
      </c>
      <c r="C271">
        <v>200000</v>
      </c>
      <c r="D271">
        <v>3</v>
      </c>
      <c r="E271" s="22">
        <f>TIME(,,result[[#This Row],[TimeMs]]/(1000))</f>
        <v>0</v>
      </c>
    </row>
    <row r="272" spans="1:5" x14ac:dyDescent="0.25">
      <c r="A272" s="1" t="s">
        <v>13</v>
      </c>
      <c r="B272" s="1" t="s">
        <v>5</v>
      </c>
      <c r="C272">
        <v>1000</v>
      </c>
      <c r="D272">
        <v>0</v>
      </c>
      <c r="E272" s="22">
        <f>TIME(,,result[[#This Row],[TimeMs]]/(1000))</f>
        <v>0</v>
      </c>
    </row>
    <row r="273" spans="1:5" x14ac:dyDescent="0.25">
      <c r="A273" s="1" t="s">
        <v>13</v>
      </c>
      <c r="B273" s="1" t="s">
        <v>11</v>
      </c>
      <c r="C273">
        <v>1000</v>
      </c>
      <c r="D273">
        <v>6</v>
      </c>
      <c r="E273" s="22">
        <f>TIME(,,result[[#This Row],[TimeMs]]/(1000))</f>
        <v>0</v>
      </c>
    </row>
    <row r="274" spans="1:5" x14ac:dyDescent="0.25">
      <c r="A274" s="1" t="s">
        <v>13</v>
      </c>
      <c r="B274" s="1" t="s">
        <v>6</v>
      </c>
      <c r="C274">
        <v>1000</v>
      </c>
      <c r="D274">
        <v>0</v>
      </c>
      <c r="E274" s="22">
        <f>TIME(,,result[[#This Row],[TimeMs]]/(1000))</f>
        <v>0</v>
      </c>
    </row>
    <row r="275" spans="1:5" x14ac:dyDescent="0.25">
      <c r="A275" s="1" t="s">
        <v>13</v>
      </c>
      <c r="B275" s="1" t="s">
        <v>5</v>
      </c>
      <c r="C275">
        <v>10000</v>
      </c>
      <c r="D275">
        <v>0</v>
      </c>
      <c r="E275" s="22">
        <f>TIME(,,result[[#This Row],[TimeMs]]/(1000))</f>
        <v>0</v>
      </c>
    </row>
    <row r="276" spans="1:5" x14ac:dyDescent="0.25">
      <c r="A276" s="1" t="s">
        <v>13</v>
      </c>
      <c r="B276" s="1" t="s">
        <v>11</v>
      </c>
      <c r="C276">
        <v>10000</v>
      </c>
      <c r="D276">
        <v>396</v>
      </c>
      <c r="E276" s="22">
        <f>TIME(,,result[[#This Row],[TimeMs]]/(1000))</f>
        <v>0</v>
      </c>
    </row>
    <row r="277" spans="1:5" x14ac:dyDescent="0.25">
      <c r="A277" s="1" t="s">
        <v>13</v>
      </c>
      <c r="B277" s="1" t="s">
        <v>6</v>
      </c>
      <c r="C277">
        <v>10000</v>
      </c>
      <c r="D277">
        <v>0</v>
      </c>
      <c r="E277" s="22">
        <f>TIME(,,result[[#This Row],[TimeMs]]/(1000))</f>
        <v>0</v>
      </c>
    </row>
    <row r="278" spans="1:5" x14ac:dyDescent="0.25">
      <c r="A278" s="1" t="s">
        <v>13</v>
      </c>
      <c r="B278" s="1" t="s">
        <v>5</v>
      </c>
      <c r="C278">
        <v>100000</v>
      </c>
      <c r="D278">
        <v>20</v>
      </c>
      <c r="E278" s="22">
        <f>TIME(,,result[[#This Row],[TimeMs]]/(1000))</f>
        <v>0</v>
      </c>
    </row>
    <row r="279" spans="1:5" x14ac:dyDescent="0.25">
      <c r="A279" s="1" t="s">
        <v>13</v>
      </c>
      <c r="B279" s="1" t="s">
        <v>11</v>
      </c>
      <c r="C279">
        <v>100000</v>
      </c>
      <c r="D279">
        <v>40786</v>
      </c>
      <c r="E279" s="22">
        <f>TIME(,,result[[#This Row],[TimeMs]]/(1000))</f>
        <v>4.6296296296296298E-4</v>
      </c>
    </row>
    <row r="280" spans="1:5" x14ac:dyDescent="0.25">
      <c r="A280" s="1" t="s">
        <v>13</v>
      </c>
      <c r="B280" s="1" t="s">
        <v>6</v>
      </c>
      <c r="C280">
        <v>100000</v>
      </c>
      <c r="D280">
        <v>1</v>
      </c>
      <c r="E280" s="22">
        <f>TIME(,,result[[#This Row],[TimeMs]]/(1000))</f>
        <v>0</v>
      </c>
    </row>
    <row r="281" spans="1:5" x14ac:dyDescent="0.25">
      <c r="A281" s="1" t="s">
        <v>13</v>
      </c>
      <c r="B281" s="1" t="s">
        <v>5</v>
      </c>
      <c r="C281">
        <v>200000</v>
      </c>
      <c r="D281">
        <v>13</v>
      </c>
      <c r="E281" s="22">
        <f>TIME(,,result[[#This Row],[TimeMs]]/(1000))</f>
        <v>0</v>
      </c>
    </row>
    <row r="282" spans="1:5" x14ac:dyDescent="0.25">
      <c r="A282" s="1" t="s">
        <v>13</v>
      </c>
      <c r="B282" s="1" t="s">
        <v>11</v>
      </c>
      <c r="C282">
        <v>200000</v>
      </c>
      <c r="D282">
        <v>165150</v>
      </c>
      <c r="E282" s="22">
        <f>TIME(,,result[[#This Row],[TimeMs]]/(1000))</f>
        <v>1.9097222222222222E-3</v>
      </c>
    </row>
    <row r="283" spans="1:5" x14ac:dyDescent="0.25">
      <c r="A283" s="1" t="s">
        <v>13</v>
      </c>
      <c r="B283" s="1" t="s">
        <v>6</v>
      </c>
      <c r="C283">
        <v>200000</v>
      </c>
      <c r="D283">
        <v>3</v>
      </c>
      <c r="E283" s="22">
        <f>TIME(,,result[[#This Row],[TimeMs]]/(1000))</f>
        <v>0</v>
      </c>
    </row>
    <row r="284" spans="1:5" x14ac:dyDescent="0.25">
      <c r="A284" s="1" t="s">
        <v>13</v>
      </c>
      <c r="B284" s="1" t="s">
        <v>5</v>
      </c>
      <c r="C284">
        <v>1000</v>
      </c>
      <c r="D284">
        <v>0</v>
      </c>
      <c r="E284" s="22">
        <f>TIME(,,result[[#This Row],[TimeMs]]/(1000))</f>
        <v>0</v>
      </c>
    </row>
    <row r="285" spans="1:5" x14ac:dyDescent="0.25">
      <c r="A285" s="1" t="s">
        <v>13</v>
      </c>
      <c r="B285" s="1" t="s">
        <v>11</v>
      </c>
      <c r="C285">
        <v>1000</v>
      </c>
      <c r="D285">
        <v>4</v>
      </c>
      <c r="E285" s="22">
        <f>TIME(,,result[[#This Row],[TimeMs]]/(1000))</f>
        <v>0</v>
      </c>
    </row>
    <row r="286" spans="1:5" x14ac:dyDescent="0.25">
      <c r="A286" s="1" t="s">
        <v>13</v>
      </c>
      <c r="B286" s="1" t="s">
        <v>6</v>
      </c>
      <c r="C286">
        <v>1000</v>
      </c>
      <c r="D286">
        <v>0</v>
      </c>
      <c r="E286" s="22">
        <f>TIME(,,result[[#This Row],[TimeMs]]/(1000))</f>
        <v>0</v>
      </c>
    </row>
    <row r="287" spans="1:5" x14ac:dyDescent="0.25">
      <c r="A287" s="1" t="s">
        <v>13</v>
      </c>
      <c r="B287" s="1" t="s">
        <v>5</v>
      </c>
      <c r="C287">
        <v>10000</v>
      </c>
      <c r="D287">
        <v>0</v>
      </c>
      <c r="E287" s="22">
        <f>TIME(,,result[[#This Row],[TimeMs]]/(1000))</f>
        <v>0</v>
      </c>
    </row>
    <row r="288" spans="1:5" x14ac:dyDescent="0.25">
      <c r="A288" s="1" t="s">
        <v>13</v>
      </c>
      <c r="B288" s="1" t="s">
        <v>11</v>
      </c>
      <c r="C288">
        <v>10000</v>
      </c>
      <c r="D288">
        <v>407</v>
      </c>
      <c r="E288" s="22">
        <f>TIME(,,result[[#This Row],[TimeMs]]/(1000))</f>
        <v>0</v>
      </c>
    </row>
    <row r="289" spans="1:5" x14ac:dyDescent="0.25">
      <c r="A289" s="1" t="s">
        <v>13</v>
      </c>
      <c r="B289" s="1" t="s">
        <v>6</v>
      </c>
      <c r="C289">
        <v>10000</v>
      </c>
      <c r="D289">
        <v>0</v>
      </c>
      <c r="E289" s="22">
        <f>TIME(,,result[[#This Row],[TimeMs]]/(1000))</f>
        <v>0</v>
      </c>
    </row>
    <row r="290" spans="1:5" x14ac:dyDescent="0.25">
      <c r="A290" s="1" t="s">
        <v>13</v>
      </c>
      <c r="B290" s="1" t="s">
        <v>5</v>
      </c>
      <c r="C290">
        <v>100000</v>
      </c>
      <c r="D290">
        <v>13</v>
      </c>
      <c r="E290" s="22">
        <f>TIME(,,result[[#This Row],[TimeMs]]/(1000))</f>
        <v>0</v>
      </c>
    </row>
    <row r="291" spans="1:5" x14ac:dyDescent="0.25">
      <c r="A291" s="1" t="s">
        <v>13</v>
      </c>
      <c r="B291" s="1" t="s">
        <v>11</v>
      </c>
      <c r="C291">
        <v>100000</v>
      </c>
      <c r="D291">
        <v>43730</v>
      </c>
      <c r="E291" s="22">
        <f>TIME(,,result[[#This Row],[TimeMs]]/(1000))</f>
        <v>4.9768518518518521E-4</v>
      </c>
    </row>
    <row r="292" spans="1:5" x14ac:dyDescent="0.25">
      <c r="A292" s="1" t="s">
        <v>13</v>
      </c>
      <c r="B292" s="1" t="s">
        <v>6</v>
      </c>
      <c r="C292">
        <v>100000</v>
      </c>
      <c r="D292">
        <v>1</v>
      </c>
      <c r="E292" s="22">
        <f>TIME(,,result[[#This Row],[TimeMs]]/(1000))</f>
        <v>0</v>
      </c>
    </row>
    <row r="293" spans="1:5" x14ac:dyDescent="0.25">
      <c r="A293" s="1" t="s">
        <v>13</v>
      </c>
      <c r="B293" s="1" t="s">
        <v>5</v>
      </c>
      <c r="C293">
        <v>200000</v>
      </c>
      <c r="D293">
        <v>11</v>
      </c>
      <c r="E293" s="22">
        <f>TIME(,,result[[#This Row],[TimeMs]]/(1000))</f>
        <v>0</v>
      </c>
    </row>
    <row r="294" spans="1:5" x14ac:dyDescent="0.25">
      <c r="A294" s="1" t="s">
        <v>13</v>
      </c>
      <c r="B294" s="1" t="s">
        <v>11</v>
      </c>
      <c r="C294">
        <v>200000</v>
      </c>
      <c r="D294">
        <v>174773</v>
      </c>
      <c r="E294" s="22">
        <f>TIME(,,result[[#This Row],[TimeMs]]/(1000))</f>
        <v>2.0138888888888888E-3</v>
      </c>
    </row>
    <row r="295" spans="1:5" x14ac:dyDescent="0.25">
      <c r="A295" s="1" t="s">
        <v>13</v>
      </c>
      <c r="B295" s="1" t="s">
        <v>6</v>
      </c>
      <c r="C295">
        <v>200000</v>
      </c>
      <c r="D295">
        <v>4</v>
      </c>
      <c r="E295" s="22">
        <f>TIME(,,result[[#This Row],[TimeMs]]/(1000))</f>
        <v>0</v>
      </c>
    </row>
    <row r="296" spans="1:5" x14ac:dyDescent="0.25">
      <c r="A296" s="1" t="s">
        <v>9</v>
      </c>
      <c r="B296" s="1" t="s">
        <v>5</v>
      </c>
      <c r="C296">
        <v>1000</v>
      </c>
      <c r="D296">
        <v>0</v>
      </c>
      <c r="E296" s="22">
        <f>TIME(,,result[[#This Row],[TimeMs]]/(1000))</f>
        <v>0</v>
      </c>
    </row>
    <row r="297" spans="1:5" x14ac:dyDescent="0.25">
      <c r="A297" s="1" t="s">
        <v>9</v>
      </c>
      <c r="B297" s="1" t="s">
        <v>6</v>
      </c>
      <c r="C297">
        <v>1000</v>
      </c>
      <c r="D297">
        <v>0</v>
      </c>
      <c r="E297" s="22">
        <f>TIME(,,result[[#This Row],[TimeMs]]/(1000))</f>
        <v>0</v>
      </c>
    </row>
    <row r="298" spans="1:5" x14ac:dyDescent="0.25">
      <c r="A298" s="1" t="s">
        <v>9</v>
      </c>
      <c r="B298" s="1" t="s">
        <v>7</v>
      </c>
      <c r="C298">
        <v>1000</v>
      </c>
      <c r="D298">
        <v>4</v>
      </c>
      <c r="E298" s="22">
        <f>TIME(,,result[[#This Row],[TimeMs]]/(1000))</f>
        <v>0</v>
      </c>
    </row>
    <row r="299" spans="1:5" x14ac:dyDescent="0.25">
      <c r="A299" s="1" t="s">
        <v>9</v>
      </c>
      <c r="B299" s="1" t="s">
        <v>8</v>
      </c>
      <c r="C299">
        <v>1000</v>
      </c>
      <c r="D299">
        <v>2</v>
      </c>
      <c r="E299" s="22">
        <f>TIME(,,result[[#This Row],[TimeMs]]/(1000))</f>
        <v>0</v>
      </c>
    </row>
    <row r="300" spans="1:5" x14ac:dyDescent="0.25">
      <c r="A300" s="1" t="s">
        <v>9</v>
      </c>
      <c r="B300" s="1" t="s">
        <v>5</v>
      </c>
      <c r="C300">
        <v>10000</v>
      </c>
      <c r="D300">
        <v>0</v>
      </c>
      <c r="E300" s="22">
        <f>TIME(,,result[[#This Row],[TimeMs]]/(1000))</f>
        <v>0</v>
      </c>
    </row>
    <row r="301" spans="1:5" x14ac:dyDescent="0.25">
      <c r="A301" s="1" t="s">
        <v>9</v>
      </c>
      <c r="B301" s="1" t="s">
        <v>6</v>
      </c>
      <c r="C301">
        <v>10000</v>
      </c>
      <c r="D301">
        <v>0</v>
      </c>
      <c r="E301" s="22">
        <f>TIME(,,result[[#This Row],[TimeMs]]/(1000))</f>
        <v>0</v>
      </c>
    </row>
    <row r="302" spans="1:5" x14ac:dyDescent="0.25">
      <c r="A302" s="1" t="s">
        <v>9</v>
      </c>
      <c r="B302" s="1" t="s">
        <v>7</v>
      </c>
      <c r="C302">
        <v>10000</v>
      </c>
      <c r="D302">
        <v>374</v>
      </c>
      <c r="E302" s="22">
        <f>TIME(,,result[[#This Row],[TimeMs]]/(1000))</f>
        <v>0</v>
      </c>
    </row>
    <row r="303" spans="1:5" x14ac:dyDescent="0.25">
      <c r="A303" s="1" t="s">
        <v>9</v>
      </c>
      <c r="B303" s="1" t="s">
        <v>8</v>
      </c>
      <c r="C303">
        <v>10000</v>
      </c>
      <c r="D303">
        <v>292</v>
      </c>
      <c r="E303" s="22">
        <f>TIME(,,result[[#This Row],[TimeMs]]/(1000))</f>
        <v>0</v>
      </c>
    </row>
    <row r="304" spans="1:5" x14ac:dyDescent="0.25">
      <c r="A304" s="1" t="s">
        <v>9</v>
      </c>
      <c r="B304" s="1" t="s">
        <v>5</v>
      </c>
      <c r="C304">
        <v>100000</v>
      </c>
      <c r="D304">
        <v>16</v>
      </c>
      <c r="E304" s="22">
        <f>TIME(,,result[[#This Row],[TimeMs]]/(1000))</f>
        <v>0</v>
      </c>
    </row>
    <row r="305" spans="1:5" x14ac:dyDescent="0.25">
      <c r="A305" s="1" t="s">
        <v>9</v>
      </c>
      <c r="B305" s="1" t="s">
        <v>6</v>
      </c>
      <c r="C305">
        <v>100000</v>
      </c>
      <c r="D305">
        <v>2</v>
      </c>
      <c r="E305" s="22">
        <f>TIME(,,result[[#This Row],[TimeMs]]/(1000))</f>
        <v>0</v>
      </c>
    </row>
    <row r="306" spans="1:5" x14ac:dyDescent="0.25">
      <c r="A306" s="1" t="s">
        <v>9</v>
      </c>
      <c r="B306" s="1" t="s">
        <v>7</v>
      </c>
      <c r="C306">
        <v>100000</v>
      </c>
      <c r="D306">
        <v>39468</v>
      </c>
      <c r="E306" s="22">
        <f>TIME(,,result[[#This Row],[TimeMs]]/(1000))</f>
        <v>4.5138888888888887E-4</v>
      </c>
    </row>
    <row r="307" spans="1:5" x14ac:dyDescent="0.25">
      <c r="A307" s="1" t="s">
        <v>9</v>
      </c>
      <c r="B307" s="1" t="s">
        <v>8</v>
      </c>
      <c r="C307">
        <v>100000</v>
      </c>
      <c r="D307">
        <v>31983</v>
      </c>
      <c r="E307" s="22">
        <f>TIME(,,result[[#This Row],[TimeMs]]/(1000))</f>
        <v>3.5879629629629629E-4</v>
      </c>
    </row>
    <row r="308" spans="1:5" x14ac:dyDescent="0.25">
      <c r="A308" s="1" t="s">
        <v>9</v>
      </c>
      <c r="B308" s="1" t="s">
        <v>5</v>
      </c>
      <c r="C308">
        <v>200000</v>
      </c>
      <c r="D308">
        <v>37</v>
      </c>
      <c r="E308" s="22">
        <f>TIME(,,result[[#This Row],[TimeMs]]/(1000))</f>
        <v>0</v>
      </c>
    </row>
    <row r="309" spans="1:5" x14ac:dyDescent="0.25">
      <c r="A309" s="1" t="s">
        <v>9</v>
      </c>
      <c r="B309" s="1" t="s">
        <v>6</v>
      </c>
      <c r="C309">
        <v>200000</v>
      </c>
      <c r="D309">
        <v>4</v>
      </c>
      <c r="E309" s="22">
        <f>TIME(,,result[[#This Row],[TimeMs]]/(1000))</f>
        <v>0</v>
      </c>
    </row>
    <row r="310" spans="1:5" x14ac:dyDescent="0.25">
      <c r="A310" s="1" t="s">
        <v>9</v>
      </c>
      <c r="B310" s="1" t="s">
        <v>7</v>
      </c>
      <c r="C310">
        <v>200000</v>
      </c>
      <c r="D310">
        <v>160863</v>
      </c>
      <c r="E310" s="22">
        <f>TIME(,,result[[#This Row],[TimeMs]]/(1000))</f>
        <v>1.8518518518518519E-3</v>
      </c>
    </row>
    <row r="311" spans="1:5" x14ac:dyDescent="0.25">
      <c r="A311" s="1" t="s">
        <v>9</v>
      </c>
      <c r="B311" s="1" t="s">
        <v>8</v>
      </c>
      <c r="C311">
        <v>200000</v>
      </c>
      <c r="D311">
        <v>137671</v>
      </c>
      <c r="E311" s="22">
        <f>TIME(,,result[[#This Row],[TimeMs]]/(1000))</f>
        <v>1.5856481481481481E-3</v>
      </c>
    </row>
    <row r="312" spans="1:5" x14ac:dyDescent="0.25">
      <c r="A312" s="1" t="s">
        <v>9</v>
      </c>
      <c r="B312" s="1" t="s">
        <v>5</v>
      </c>
      <c r="C312">
        <v>1000</v>
      </c>
      <c r="D312">
        <v>0</v>
      </c>
      <c r="E312" s="22">
        <f>TIME(,,result[[#This Row],[TimeMs]]/(1000))</f>
        <v>0</v>
      </c>
    </row>
    <row r="313" spans="1:5" x14ac:dyDescent="0.25">
      <c r="A313" s="1" t="s">
        <v>9</v>
      </c>
      <c r="B313" s="1" t="s">
        <v>6</v>
      </c>
      <c r="C313">
        <v>1000</v>
      </c>
      <c r="D313">
        <v>0</v>
      </c>
      <c r="E313" s="22">
        <f>TIME(,,result[[#This Row],[TimeMs]]/(1000))</f>
        <v>0</v>
      </c>
    </row>
    <row r="314" spans="1:5" x14ac:dyDescent="0.25">
      <c r="A314" s="1" t="s">
        <v>9</v>
      </c>
      <c r="B314" s="1" t="s">
        <v>7</v>
      </c>
      <c r="C314">
        <v>1000</v>
      </c>
      <c r="D314">
        <v>4</v>
      </c>
      <c r="E314" s="22">
        <f>TIME(,,result[[#This Row],[TimeMs]]/(1000))</f>
        <v>0</v>
      </c>
    </row>
    <row r="315" spans="1:5" x14ac:dyDescent="0.25">
      <c r="A315" s="1" t="s">
        <v>9</v>
      </c>
      <c r="B315" s="1" t="s">
        <v>8</v>
      </c>
      <c r="C315">
        <v>1000</v>
      </c>
      <c r="D315">
        <v>3</v>
      </c>
      <c r="E315" s="22">
        <f>TIME(,,result[[#This Row],[TimeMs]]/(1000))</f>
        <v>0</v>
      </c>
    </row>
    <row r="316" spans="1:5" x14ac:dyDescent="0.25">
      <c r="A316" s="1" t="s">
        <v>9</v>
      </c>
      <c r="B316" s="1" t="s">
        <v>5</v>
      </c>
      <c r="C316">
        <v>10000</v>
      </c>
      <c r="D316">
        <v>0</v>
      </c>
      <c r="E316" s="22">
        <f>TIME(,,result[[#This Row],[TimeMs]]/(1000))</f>
        <v>0</v>
      </c>
    </row>
    <row r="317" spans="1:5" x14ac:dyDescent="0.25">
      <c r="A317" s="1" t="s">
        <v>9</v>
      </c>
      <c r="B317" s="1" t="s">
        <v>6</v>
      </c>
      <c r="C317">
        <v>10000</v>
      </c>
      <c r="D317">
        <v>0</v>
      </c>
      <c r="E317" s="22">
        <f>TIME(,,result[[#This Row],[TimeMs]]/(1000))</f>
        <v>0</v>
      </c>
    </row>
    <row r="318" spans="1:5" x14ac:dyDescent="0.25">
      <c r="A318" s="1" t="s">
        <v>9</v>
      </c>
      <c r="B318" s="1" t="s">
        <v>7</v>
      </c>
      <c r="C318">
        <v>10000</v>
      </c>
      <c r="D318">
        <v>344</v>
      </c>
      <c r="E318" s="22">
        <f>TIME(,,result[[#This Row],[TimeMs]]/(1000))</f>
        <v>0</v>
      </c>
    </row>
    <row r="319" spans="1:5" x14ac:dyDescent="0.25">
      <c r="A319" s="1" t="s">
        <v>9</v>
      </c>
      <c r="B319" s="1" t="s">
        <v>8</v>
      </c>
      <c r="C319">
        <v>10000</v>
      </c>
      <c r="D319">
        <v>260</v>
      </c>
      <c r="E319" s="22">
        <f>TIME(,,result[[#This Row],[TimeMs]]/(1000))</f>
        <v>0</v>
      </c>
    </row>
    <row r="320" spans="1:5" x14ac:dyDescent="0.25">
      <c r="A320" s="1" t="s">
        <v>9</v>
      </c>
      <c r="B320" s="1" t="s">
        <v>5</v>
      </c>
      <c r="C320">
        <v>100000</v>
      </c>
      <c r="D320">
        <v>13</v>
      </c>
      <c r="E320" s="22">
        <f>TIME(,,result[[#This Row],[TimeMs]]/(1000))</f>
        <v>0</v>
      </c>
    </row>
    <row r="321" spans="1:5" x14ac:dyDescent="0.25">
      <c r="A321" s="1" t="s">
        <v>9</v>
      </c>
      <c r="B321" s="1" t="s">
        <v>6</v>
      </c>
      <c r="C321">
        <v>100000</v>
      </c>
      <c r="D321">
        <v>1</v>
      </c>
      <c r="E321" s="22">
        <f>TIME(,,result[[#This Row],[TimeMs]]/(1000))</f>
        <v>0</v>
      </c>
    </row>
    <row r="322" spans="1:5" x14ac:dyDescent="0.25">
      <c r="A322" s="1" t="s">
        <v>9</v>
      </c>
      <c r="B322" s="1" t="s">
        <v>7</v>
      </c>
      <c r="C322">
        <v>100000</v>
      </c>
      <c r="D322">
        <v>36923</v>
      </c>
      <c r="E322" s="22">
        <f>TIME(,,result[[#This Row],[TimeMs]]/(1000))</f>
        <v>4.1666666666666669E-4</v>
      </c>
    </row>
    <row r="323" spans="1:5" x14ac:dyDescent="0.25">
      <c r="A323" s="1" t="s">
        <v>9</v>
      </c>
      <c r="B323" s="1" t="s">
        <v>8</v>
      </c>
      <c r="C323">
        <v>100000</v>
      </c>
      <c r="D323">
        <v>28640</v>
      </c>
      <c r="E323" s="22">
        <f>TIME(,,result[[#This Row],[TimeMs]]/(1000))</f>
        <v>3.2407407407407406E-4</v>
      </c>
    </row>
    <row r="324" spans="1:5" x14ac:dyDescent="0.25">
      <c r="A324" s="1" t="s">
        <v>9</v>
      </c>
      <c r="B324" s="1" t="s">
        <v>5</v>
      </c>
      <c r="C324">
        <v>200000</v>
      </c>
      <c r="D324">
        <v>19</v>
      </c>
      <c r="E324" s="22">
        <f>TIME(,,result[[#This Row],[TimeMs]]/(1000))</f>
        <v>0</v>
      </c>
    </row>
    <row r="325" spans="1:5" x14ac:dyDescent="0.25">
      <c r="A325" s="1" t="s">
        <v>9</v>
      </c>
      <c r="B325" s="1" t="s">
        <v>6</v>
      </c>
      <c r="C325">
        <v>200000</v>
      </c>
      <c r="D325">
        <v>3</v>
      </c>
      <c r="E325" s="22">
        <f>TIME(,,result[[#This Row],[TimeMs]]/(1000))</f>
        <v>0</v>
      </c>
    </row>
    <row r="326" spans="1:5" x14ac:dyDescent="0.25">
      <c r="A326" s="1" t="s">
        <v>9</v>
      </c>
      <c r="B326" s="1" t="s">
        <v>7</v>
      </c>
      <c r="C326">
        <v>200000</v>
      </c>
      <c r="D326">
        <v>147733</v>
      </c>
      <c r="E326" s="22">
        <f>TIME(,,result[[#This Row],[TimeMs]]/(1000))</f>
        <v>1.7013888888888888E-3</v>
      </c>
    </row>
    <row r="327" spans="1:5" x14ac:dyDescent="0.25">
      <c r="A327" s="1" t="s">
        <v>9</v>
      </c>
      <c r="B327" s="1" t="s">
        <v>8</v>
      </c>
      <c r="C327">
        <v>200000</v>
      </c>
      <c r="D327">
        <v>124450</v>
      </c>
      <c r="E327" s="22">
        <f>TIME(,,result[[#This Row],[TimeMs]]/(1000))</f>
        <v>1.4351851851851852E-3</v>
      </c>
    </row>
    <row r="328" spans="1:5" x14ac:dyDescent="0.25">
      <c r="A328" s="1" t="s">
        <v>9</v>
      </c>
      <c r="B328" s="1" t="s">
        <v>5</v>
      </c>
      <c r="C328">
        <v>1000</v>
      </c>
      <c r="D328">
        <v>0</v>
      </c>
      <c r="E328" s="22">
        <f>TIME(,,result[[#This Row],[TimeMs]]/(1000))</f>
        <v>0</v>
      </c>
    </row>
    <row r="329" spans="1:5" x14ac:dyDescent="0.25">
      <c r="A329" s="1" t="s">
        <v>9</v>
      </c>
      <c r="B329" s="1" t="s">
        <v>6</v>
      </c>
      <c r="C329">
        <v>1000</v>
      </c>
      <c r="D329">
        <v>0</v>
      </c>
      <c r="E329" s="22">
        <f>TIME(,,result[[#This Row],[TimeMs]]/(1000))</f>
        <v>0</v>
      </c>
    </row>
    <row r="330" spans="1:5" x14ac:dyDescent="0.25">
      <c r="A330" s="1" t="s">
        <v>9</v>
      </c>
      <c r="B330" s="1" t="s">
        <v>7</v>
      </c>
      <c r="C330">
        <v>1000</v>
      </c>
      <c r="D330">
        <v>3</v>
      </c>
      <c r="E330" s="22">
        <f>TIME(,,result[[#This Row],[TimeMs]]/(1000))</f>
        <v>0</v>
      </c>
    </row>
    <row r="331" spans="1:5" x14ac:dyDescent="0.25">
      <c r="A331" s="1" t="s">
        <v>9</v>
      </c>
      <c r="B331" s="1" t="s">
        <v>8</v>
      </c>
      <c r="C331">
        <v>1000</v>
      </c>
      <c r="D331">
        <v>3</v>
      </c>
      <c r="E331" s="22">
        <f>TIME(,,result[[#This Row],[TimeMs]]/(1000))</f>
        <v>0</v>
      </c>
    </row>
    <row r="332" spans="1:5" x14ac:dyDescent="0.25">
      <c r="A332" s="1" t="s">
        <v>9</v>
      </c>
      <c r="B332" s="1" t="s">
        <v>5</v>
      </c>
      <c r="C332">
        <v>10000</v>
      </c>
      <c r="D332">
        <v>0</v>
      </c>
      <c r="E332" s="22">
        <f>TIME(,,result[[#This Row],[TimeMs]]/(1000))</f>
        <v>0</v>
      </c>
    </row>
    <row r="333" spans="1:5" x14ac:dyDescent="0.25">
      <c r="A333" s="1" t="s">
        <v>9</v>
      </c>
      <c r="B333" s="1" t="s">
        <v>6</v>
      </c>
      <c r="C333">
        <v>10000</v>
      </c>
      <c r="D333">
        <v>0</v>
      </c>
      <c r="E333" s="22">
        <f>TIME(,,result[[#This Row],[TimeMs]]/(1000))</f>
        <v>0</v>
      </c>
    </row>
    <row r="334" spans="1:5" x14ac:dyDescent="0.25">
      <c r="A334" s="1" t="s">
        <v>9</v>
      </c>
      <c r="B334" s="1" t="s">
        <v>7</v>
      </c>
      <c r="C334">
        <v>10000</v>
      </c>
      <c r="D334">
        <v>340</v>
      </c>
      <c r="E334" s="22">
        <f>TIME(,,result[[#This Row],[TimeMs]]/(1000))</f>
        <v>0</v>
      </c>
    </row>
    <row r="335" spans="1:5" x14ac:dyDescent="0.25">
      <c r="A335" s="1" t="s">
        <v>9</v>
      </c>
      <c r="B335" s="1" t="s">
        <v>8</v>
      </c>
      <c r="C335">
        <v>10000</v>
      </c>
      <c r="D335">
        <v>262</v>
      </c>
      <c r="E335" s="22">
        <f>TIME(,,result[[#This Row],[TimeMs]]/(1000))</f>
        <v>0</v>
      </c>
    </row>
    <row r="336" spans="1:5" x14ac:dyDescent="0.25">
      <c r="A336" s="1" t="s">
        <v>9</v>
      </c>
      <c r="B336" s="1" t="s">
        <v>5</v>
      </c>
      <c r="C336">
        <v>100000</v>
      </c>
      <c r="D336">
        <v>15</v>
      </c>
      <c r="E336" s="22">
        <f>TIME(,,result[[#This Row],[TimeMs]]/(1000))</f>
        <v>0</v>
      </c>
    </row>
    <row r="337" spans="1:5" x14ac:dyDescent="0.25">
      <c r="A337" s="1" t="s">
        <v>9</v>
      </c>
      <c r="B337" s="1" t="s">
        <v>6</v>
      </c>
      <c r="C337">
        <v>100000</v>
      </c>
      <c r="D337">
        <v>2</v>
      </c>
      <c r="E337" s="22">
        <f>TIME(,,result[[#This Row],[TimeMs]]/(1000))</f>
        <v>0</v>
      </c>
    </row>
    <row r="338" spans="1:5" x14ac:dyDescent="0.25">
      <c r="A338" s="1" t="s">
        <v>9</v>
      </c>
      <c r="B338" s="1" t="s">
        <v>7</v>
      </c>
      <c r="C338">
        <v>100000</v>
      </c>
      <c r="D338">
        <v>34197</v>
      </c>
      <c r="E338" s="22">
        <f>TIME(,,result[[#This Row],[TimeMs]]/(1000))</f>
        <v>3.9351851851851852E-4</v>
      </c>
    </row>
    <row r="339" spans="1:5" x14ac:dyDescent="0.25">
      <c r="A339" s="1" t="s">
        <v>9</v>
      </c>
      <c r="B339" s="1" t="s">
        <v>8</v>
      </c>
      <c r="C339">
        <v>100000</v>
      </c>
      <c r="D339">
        <v>26977</v>
      </c>
      <c r="E339" s="22">
        <f>TIME(,,result[[#This Row],[TimeMs]]/(1000))</f>
        <v>3.0092592592592595E-4</v>
      </c>
    </row>
    <row r="340" spans="1:5" x14ac:dyDescent="0.25">
      <c r="A340" s="1" t="s">
        <v>9</v>
      </c>
      <c r="B340" s="1" t="s">
        <v>5</v>
      </c>
      <c r="C340">
        <v>200000</v>
      </c>
      <c r="D340">
        <v>18</v>
      </c>
      <c r="E340" s="22">
        <f>TIME(,,result[[#This Row],[TimeMs]]/(1000))</f>
        <v>0</v>
      </c>
    </row>
    <row r="341" spans="1:5" x14ac:dyDescent="0.25">
      <c r="A341" s="1" t="s">
        <v>9</v>
      </c>
      <c r="B341" s="1" t="s">
        <v>6</v>
      </c>
      <c r="C341">
        <v>200000</v>
      </c>
      <c r="D341">
        <v>3</v>
      </c>
      <c r="E341" s="22">
        <f>TIME(,,result[[#This Row],[TimeMs]]/(1000))</f>
        <v>0</v>
      </c>
    </row>
    <row r="342" spans="1:5" x14ac:dyDescent="0.25">
      <c r="A342" s="1" t="s">
        <v>9</v>
      </c>
      <c r="B342" s="1" t="s">
        <v>7</v>
      </c>
      <c r="C342">
        <v>200000</v>
      </c>
      <c r="D342">
        <v>141196</v>
      </c>
      <c r="E342" s="22">
        <f>TIME(,,result[[#This Row],[TimeMs]]/(1000))</f>
        <v>1.6319444444444445E-3</v>
      </c>
    </row>
    <row r="343" spans="1:5" x14ac:dyDescent="0.25">
      <c r="A343" s="1" t="s">
        <v>9</v>
      </c>
      <c r="B343" s="1" t="s">
        <v>8</v>
      </c>
      <c r="C343">
        <v>200000</v>
      </c>
      <c r="D343">
        <v>119888</v>
      </c>
      <c r="E343" s="22">
        <f>TIME(,,result[[#This Row],[TimeMs]]/(1000))</f>
        <v>1.3773148148148147E-3</v>
      </c>
    </row>
    <row r="344" spans="1:5" x14ac:dyDescent="0.25">
      <c r="A344" s="1" t="s">
        <v>9</v>
      </c>
      <c r="B344" s="1" t="s">
        <v>5</v>
      </c>
      <c r="C344">
        <v>1000</v>
      </c>
      <c r="D344">
        <v>0</v>
      </c>
      <c r="E344" s="22">
        <f>TIME(,,result[[#This Row],[TimeMs]]/(1000))</f>
        <v>0</v>
      </c>
    </row>
    <row r="345" spans="1:5" x14ac:dyDescent="0.25">
      <c r="A345" s="1" t="s">
        <v>9</v>
      </c>
      <c r="B345" s="1" t="s">
        <v>6</v>
      </c>
      <c r="C345">
        <v>1000</v>
      </c>
      <c r="D345">
        <v>0</v>
      </c>
      <c r="E345" s="22">
        <f>TIME(,,result[[#This Row],[TimeMs]]/(1000))</f>
        <v>0</v>
      </c>
    </row>
    <row r="346" spans="1:5" x14ac:dyDescent="0.25">
      <c r="A346" s="1" t="s">
        <v>9</v>
      </c>
      <c r="B346" s="1" t="s">
        <v>7</v>
      </c>
      <c r="C346">
        <v>1000</v>
      </c>
      <c r="D346">
        <v>3</v>
      </c>
      <c r="E346" s="22">
        <f>TIME(,,result[[#This Row],[TimeMs]]/(1000))</f>
        <v>0</v>
      </c>
    </row>
    <row r="347" spans="1:5" x14ac:dyDescent="0.25">
      <c r="A347" s="1" t="s">
        <v>9</v>
      </c>
      <c r="B347" s="1" t="s">
        <v>8</v>
      </c>
      <c r="C347">
        <v>1000</v>
      </c>
      <c r="D347">
        <v>3</v>
      </c>
      <c r="E347" s="22">
        <f>TIME(,,result[[#This Row],[TimeMs]]/(1000))</f>
        <v>0</v>
      </c>
    </row>
    <row r="348" spans="1:5" x14ac:dyDescent="0.25">
      <c r="A348" s="1" t="s">
        <v>9</v>
      </c>
      <c r="B348" s="1" t="s">
        <v>5</v>
      </c>
      <c r="C348">
        <v>10000</v>
      </c>
      <c r="D348">
        <v>0</v>
      </c>
      <c r="E348" s="22">
        <f>TIME(,,result[[#This Row],[TimeMs]]/(1000))</f>
        <v>0</v>
      </c>
    </row>
    <row r="349" spans="1:5" x14ac:dyDescent="0.25">
      <c r="A349" s="1" t="s">
        <v>9</v>
      </c>
      <c r="B349" s="1" t="s">
        <v>6</v>
      </c>
      <c r="C349">
        <v>10000</v>
      </c>
      <c r="D349">
        <v>0</v>
      </c>
      <c r="E349" s="22">
        <f>TIME(,,result[[#This Row],[TimeMs]]/(1000))</f>
        <v>0</v>
      </c>
    </row>
    <row r="350" spans="1:5" x14ac:dyDescent="0.25">
      <c r="A350" s="1" t="s">
        <v>9</v>
      </c>
      <c r="B350" s="1" t="s">
        <v>7</v>
      </c>
      <c r="C350">
        <v>10000</v>
      </c>
      <c r="D350">
        <v>336</v>
      </c>
      <c r="E350" s="22">
        <f>TIME(,,result[[#This Row],[TimeMs]]/(1000))</f>
        <v>0</v>
      </c>
    </row>
    <row r="351" spans="1:5" x14ac:dyDescent="0.25">
      <c r="A351" s="1" t="s">
        <v>9</v>
      </c>
      <c r="B351" s="1" t="s">
        <v>8</v>
      </c>
      <c r="C351">
        <v>10000</v>
      </c>
      <c r="D351">
        <v>257</v>
      </c>
      <c r="E351" s="22">
        <f>TIME(,,result[[#This Row],[TimeMs]]/(1000))</f>
        <v>0</v>
      </c>
    </row>
    <row r="352" spans="1:5" x14ac:dyDescent="0.25">
      <c r="A352" s="1" t="s">
        <v>9</v>
      </c>
      <c r="B352" s="1" t="s">
        <v>5</v>
      </c>
      <c r="C352">
        <v>100000</v>
      </c>
      <c r="D352">
        <v>9</v>
      </c>
      <c r="E352" s="22">
        <f>TIME(,,result[[#This Row],[TimeMs]]/(1000))</f>
        <v>0</v>
      </c>
    </row>
    <row r="353" spans="1:5" x14ac:dyDescent="0.25">
      <c r="A353" s="1" t="s">
        <v>9</v>
      </c>
      <c r="B353" s="1" t="s">
        <v>6</v>
      </c>
      <c r="C353">
        <v>100000</v>
      </c>
      <c r="D353">
        <v>5</v>
      </c>
      <c r="E353" s="22">
        <f>TIME(,,result[[#This Row],[TimeMs]]/(1000))</f>
        <v>0</v>
      </c>
    </row>
    <row r="354" spans="1:5" x14ac:dyDescent="0.25">
      <c r="A354" s="1" t="s">
        <v>9</v>
      </c>
      <c r="B354" s="1" t="s">
        <v>7</v>
      </c>
      <c r="C354">
        <v>100000</v>
      </c>
      <c r="D354">
        <v>35002</v>
      </c>
      <c r="E354" s="22">
        <f>TIME(,,result[[#This Row],[TimeMs]]/(1000))</f>
        <v>4.0509259259259258E-4</v>
      </c>
    </row>
    <row r="355" spans="1:5" x14ac:dyDescent="0.25">
      <c r="A355" s="1" t="s">
        <v>9</v>
      </c>
      <c r="B355" s="1" t="s">
        <v>8</v>
      </c>
      <c r="C355">
        <v>100000</v>
      </c>
      <c r="D355">
        <v>27117</v>
      </c>
      <c r="E355" s="22">
        <f>TIME(,,result[[#This Row],[TimeMs]]/(1000))</f>
        <v>3.1250000000000001E-4</v>
      </c>
    </row>
    <row r="356" spans="1:5" x14ac:dyDescent="0.25">
      <c r="A356" s="1" t="s">
        <v>9</v>
      </c>
      <c r="B356" s="1" t="s">
        <v>5</v>
      </c>
      <c r="C356">
        <v>200000</v>
      </c>
      <c r="D356">
        <v>17</v>
      </c>
      <c r="E356" s="22">
        <f>TIME(,,result[[#This Row],[TimeMs]]/(1000))</f>
        <v>0</v>
      </c>
    </row>
    <row r="357" spans="1:5" x14ac:dyDescent="0.25">
      <c r="A357" s="1" t="s">
        <v>9</v>
      </c>
      <c r="B357" s="1" t="s">
        <v>6</v>
      </c>
      <c r="C357">
        <v>200000</v>
      </c>
      <c r="D357">
        <v>3</v>
      </c>
      <c r="E357" s="22">
        <f>TIME(,,result[[#This Row],[TimeMs]]/(1000))</f>
        <v>0</v>
      </c>
    </row>
    <row r="358" spans="1:5" x14ac:dyDescent="0.25">
      <c r="A358" s="1" t="s">
        <v>9</v>
      </c>
      <c r="B358" s="1" t="s">
        <v>7</v>
      </c>
      <c r="C358">
        <v>200000</v>
      </c>
      <c r="D358">
        <v>146274</v>
      </c>
      <c r="E358" s="22">
        <f>TIME(,,result[[#This Row],[TimeMs]]/(1000))</f>
        <v>1.6898148148148148E-3</v>
      </c>
    </row>
    <row r="359" spans="1:5" x14ac:dyDescent="0.25">
      <c r="A359" s="1" t="s">
        <v>9</v>
      </c>
      <c r="B359" s="1" t="s">
        <v>8</v>
      </c>
      <c r="C359">
        <v>200000</v>
      </c>
      <c r="D359">
        <v>119599</v>
      </c>
      <c r="E359" s="22">
        <f>TIME(,,result[[#This Row],[TimeMs]]/(1000))</f>
        <v>1.3773148148148147E-3</v>
      </c>
    </row>
  </sheetData>
  <pageMargins left="0.7" right="0.7" top="0.75" bottom="0.75" header="0.3" footer="0.3"/>
  <legacy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2BED63-0A15-4F91-9A01-6817ACBDEF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Рогожина</dc:creator>
  <cp:lastModifiedBy>Екатерина Рогожина</cp:lastModifiedBy>
  <dcterms:created xsi:type="dcterms:W3CDTF">2026-02-20T13:38:36Z</dcterms:created>
  <dcterms:modified xsi:type="dcterms:W3CDTF">2026-03-24T17:42:13Z</dcterms:modified>
</cp:coreProperties>
</file>